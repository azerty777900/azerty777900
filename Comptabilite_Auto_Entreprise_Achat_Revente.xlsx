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Paramètres" sheetId="2" state="visible" r:id="rId4"/>
    <sheet name="Tableau de bord" sheetId="3" state="visible" r:id="rId5"/>
    <sheet name="Ventes" sheetId="4" state="visible" r:id="rId6"/>
    <sheet name="Achats" sheetId="5" state="visible" r:id="rId7"/>
    <sheet name="Stock" sheetId="6" state="visible" r:id="rId8"/>
  </sheets>
  <definedNames>
    <definedName function="false" hidden="true" localSheetId="4" name="_xlnm._FilterDatabase" vbProcedure="false">Achats!$A$4:$H$1004</definedName>
    <definedName function="false" hidden="true" localSheetId="5" name="_xlnm._FilterDatabase" vbProcedure="false">Stock!$A$6:$O$1006</definedName>
    <definedName function="false" hidden="true" localSheetId="3" name="_xlnm._FilterDatabase" vbProcedure="false">Ventes!$A$4:$I$1004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<sst xmlns="http://schemas.openxmlformats.org/spreadsheetml/2006/main" count="188" uniqueCount="170">
  <si>
    <t xml:space="preserve">Comptabilité micro-entreprise — Achat / Revente</t>
  </si>
  <si>
    <t xml:space="preserve">Modèle de suivi : livre des recettes, registre des achats, stock et déclarations URSSAF</t>
  </si>
  <si>
    <t xml:space="preserve">1. Paramètres</t>
  </si>
  <si>
    <t xml:space="preserve">Renseignez le nom, le SIRET, l'année et vérifiez les taux (cellules jaunes). Choisissez Oui/Non pour le versement libératoire.</t>
  </si>
  <si>
    <t xml:space="preserve">2. Ventes</t>
  </si>
  <si>
    <t xml:space="preserve">LIVRE DES RECETTES (obligatoire) : une ligne par encaissement, dans l'ordre chronologique. Saisir le montant réellement encaissé.</t>
  </si>
  <si>
    <t xml:space="preserve">3. Achats</t>
  </si>
  <si>
    <t xml:space="preserve">REGISTRE DES ACHATS (obligatoire pour la vente de marchandises) : une ligne par facture/justificatif d'achat, avec la catégorie.</t>
  </si>
  <si>
    <t xml:space="preserve">4. Stock</t>
  </si>
  <si>
    <t xml:space="preserve">Suivi article par article : prix d'achat, prix de vente, marge et durée en stock. Facultatif mais très utile en achat-revente.</t>
  </si>
  <si>
    <t xml:space="preserve">5. Tableau de bord</t>
  </si>
  <si>
    <t xml:space="preserve">Tout est calculé automatiquement : CA à déclarer par mois et par trimestre, cotisations à payer, résultat net, alertes plafonds.</t>
  </si>
  <si>
    <t xml:space="preserve">Code couleur</t>
  </si>
  <si>
    <t xml:space="preserve">Cellules jaunes / texte bleu = à remplir.  Texte noir = formule, ne pas modifier.  Lignes grises = exemples à effacer.</t>
  </si>
  <si>
    <t xml:space="preserve">Exemples</t>
  </si>
  <si>
    <t xml:space="preserve">Les lignes grisées dans Ventes, Achats et Stock sont des exemples : supprimez leur contenu (touche Suppr) avant de commencer.</t>
  </si>
  <si>
    <t xml:space="preserve">Rappels</t>
  </si>
  <si>
    <t xml:space="preserve">• En micro-entreprise, on déclare le CA ENCAISSÉ (pas le bénéfice) : les achats ne sont PAS déductibles des cotisations.</t>
  </si>
  <si>
    <t xml:space="preserve">• Conservez toutes les factures d'achat et de vente (10 ans). Une facture de vente est obligatoire pour les clients professionnels.</t>
  </si>
  <si>
    <t xml:space="preserve">• Vente sur plateformes (Vinted, Leboncoin, eBay…) : au-delà de 30 ventes ou 2 000 € par an, la plateforme transmet vos ventes au fisc.</t>
  </si>
  <si>
    <t xml:space="preserve">• Les taux et seuils de l'onglet Paramètres sont ceux connus en 2026 : vérifiez-les chaque année sur autoentrepreneur.urssaf.fr et impots.gouv.fr.</t>
  </si>
  <si>
    <t xml:space="preserve">• Ce fichier est une aide à la gestion et ne remplace pas l'avis d'un expert-comptable.</t>
  </si>
  <si>
    <t xml:space="preserve">Paramètres</t>
  </si>
  <si>
    <t xml:space="preserve">Cellules jaunes à remplir / vérifier chaque année</t>
  </si>
  <si>
    <t xml:space="preserve">Entreprise</t>
  </si>
  <si>
    <t xml:space="preserve">Listes déroulantes (modifiables)</t>
  </si>
  <si>
    <t xml:space="preserve">Nom de l'entreprise</t>
  </si>
  <si>
    <t xml:space="preserve">Mon entreprise</t>
  </si>
  <si>
    <t xml:space="preserve">Saisie utilisateur</t>
  </si>
  <si>
    <t xml:space="preserve">Plateformes / canaux</t>
  </si>
  <si>
    <t xml:space="preserve">Modes de paiement</t>
  </si>
  <si>
    <t xml:space="preserve">Catégories d'achat</t>
  </si>
  <si>
    <t xml:space="preserve">SIRET</t>
  </si>
  <si>
    <t xml:space="preserve">000 000 000 00000</t>
  </si>
  <si>
    <t xml:space="preserve">Vinted</t>
  </si>
  <si>
    <t xml:space="preserve">Virement</t>
  </si>
  <si>
    <t xml:space="preserve">Marchandises (revente)</t>
  </si>
  <si>
    <t xml:space="preserve">Année comptable</t>
  </si>
  <si>
    <t xml:space="preserve">Toutes les synthèses filtrent sur cette année</t>
  </si>
  <si>
    <t xml:space="preserve">Leboncoin</t>
  </si>
  <si>
    <t xml:space="preserve">Carte bancaire</t>
  </si>
  <si>
    <t xml:space="preserve">Frais de port / emballage</t>
  </si>
  <si>
    <t xml:space="preserve">Périodicité de déclaration URSSAF</t>
  </si>
  <si>
    <t xml:space="preserve">Trimestrielle</t>
  </si>
  <si>
    <t xml:space="preserve">Mensuelle ou Trimestrielle (info)</t>
  </si>
  <si>
    <t xml:space="preserve">eBay</t>
  </si>
  <si>
    <t xml:space="preserve">Espèces</t>
  </si>
  <si>
    <t xml:space="preserve">Commissions plateformes</t>
  </si>
  <si>
    <t xml:space="preserve">Taux URSSAF</t>
  </si>
  <si>
    <t xml:space="preserve">Vente directe</t>
  </si>
  <si>
    <t xml:space="preserve">PayPal</t>
  </si>
  <si>
    <t xml:space="preserve">Matériel</t>
  </si>
  <si>
    <t xml:space="preserve">Taux de cotisations sociales (vente de marchandises)</t>
  </si>
  <si>
    <t xml:space="preserve">Source : URSSAF, micro-entrepreneur BIC vente — 12,3 % (à vérifier chaque année)</t>
  </si>
  <si>
    <t xml:space="preserve">Boutique en ligne</t>
  </si>
  <si>
    <t xml:space="preserve">Chèque</t>
  </si>
  <si>
    <t xml:space="preserve">Abonnements / logiciels</t>
  </si>
  <si>
    <t xml:space="preserve">Option versement libératoire de l'impôt ?</t>
  </si>
  <si>
    <t xml:space="preserve">Non</t>
  </si>
  <si>
    <t xml:space="preserve">Oui / Non — option à demander à l'URSSAF, sous condition de revenu fiscal</t>
  </si>
  <si>
    <t xml:space="preserve">Marché / brocante</t>
  </si>
  <si>
    <t xml:space="preserve">Paiement plateforme</t>
  </si>
  <si>
    <t xml:space="preserve">Déplacements</t>
  </si>
  <si>
    <t xml:space="preserve">Taux versement libératoire (vente)</t>
  </si>
  <si>
    <t xml:space="preserve">Source : impots.gouv.fr — 1 % du CA pour la vente de marchandises</t>
  </si>
  <si>
    <t xml:space="preserve">Autre</t>
  </si>
  <si>
    <t xml:space="preserve">Publicité</t>
  </si>
  <si>
    <t xml:space="preserve">Contribution formation professionnelle (CFP)</t>
  </si>
  <si>
    <t xml:space="preserve">Source : URSSAF — 0,1 % du CA pour un commerçant</t>
  </si>
  <si>
    <t xml:space="preserve">Banque / assurance</t>
  </si>
  <si>
    <t xml:space="preserve">Taxe pour frais de chambre consulaire (CCI)</t>
  </si>
  <si>
    <t xml:space="preserve">Source : URSSAF — 0,015 % du CA pour la vente (mettre 0 si non concerné)</t>
  </si>
  <si>
    <t xml:space="preserve">Autres frais</t>
  </si>
  <si>
    <t xml:space="preserve">Plafonds et seuils</t>
  </si>
  <si>
    <t xml:space="preserve">Plafond de CA micro-entreprise (vente)</t>
  </si>
  <si>
    <t xml:space="preserve">Plafond micro-BIC vente 2026-2028 — à vérifier sur economie.gouv.fr</t>
  </si>
  <si>
    <t xml:space="preserve">Seuil de franchise de TVA (vente)</t>
  </si>
  <si>
    <t xml:space="preserve">Franchise en base de TVA, seuil de base vente — à vérifier sur impots.gouv.fr</t>
  </si>
  <si>
    <t xml:space="preserve">Seuil de TVA majoré (vente)</t>
  </si>
  <si>
    <t xml:space="preserve">Dépassement = TVA due dès le 1er jour de dépassement</t>
  </si>
  <si>
    <t xml:space="preserve">Calculé automatiquement à partir des onglets Ventes et Achats (année choisie dans Paramètres)</t>
  </si>
  <si>
    <t xml:space="preserve">Montants arrondis à l'euro, comme sur la déclaration URSSAF. Achats et frais : non déductibles en micro, affichés pour calculer votre vrai bénéfice.</t>
  </si>
  <si>
    <t xml:space="preserve">Mois</t>
  </si>
  <si>
    <t xml:space="preserve">CA encaissé
(à déclarer)</t>
  </si>
  <si>
    <t xml:space="preserve">Achats de
marchandises</t>
  </si>
  <si>
    <t xml:space="preserve">Cotisations
sociales</t>
  </si>
  <si>
    <t xml:space="preserve">CFP</t>
  </si>
  <si>
    <t xml:space="preserve">Taxe CCI</t>
  </si>
  <si>
    <t xml:space="preserve">Versement
libératoire</t>
  </si>
  <si>
    <t xml:space="preserve">Total à payer
URSSAF</t>
  </si>
  <si>
    <t xml:space="preserve">Résultat net
(après URSSAF)</t>
  </si>
  <si>
    <t xml:space="preserve">CA cumulé</t>
  </si>
  <si>
    <t xml:space="preserve">Nb de ventes</t>
  </si>
  <si>
    <t xml:space="preserve">TOTAL</t>
  </si>
  <si>
    <t xml:space="preserve">Déclarations trimestrielles</t>
  </si>
  <si>
    <t xml:space="preserve">Indicateurs annuels</t>
  </si>
  <si>
    <t xml:space="preserve">Trimestre</t>
  </si>
  <si>
    <t xml:space="preserve">CA à déclarer</t>
  </si>
  <si>
    <t xml:space="preserve">À payer URSSAF</t>
  </si>
  <si>
    <t xml:space="preserve">Date limite</t>
  </si>
  <si>
    <t xml:space="preserve">CA encaissé de l'année</t>
  </si>
  <si>
    <t xml:space="preserve">T1 (janv.–mars)</t>
  </si>
  <si>
    <t xml:space="preserve">Marge brute (CA − achats marchandises)</t>
  </si>
  <si>
    <t xml:space="preserve">T2 (avr.–juin)</t>
  </si>
  <si>
    <t xml:space="preserve">Taux de marge brute</t>
  </si>
  <si>
    <t xml:space="preserve">T3 (juil.–sept.)</t>
  </si>
  <si>
    <t xml:space="preserve">Bénéfice net estimé (après frais et URSSAF)</t>
  </si>
  <si>
    <t xml:space="preserve">T4 (oct.–déc.)</t>
  </si>
  <si>
    <t xml:space="preserve">Plafond micro-entreprise utilisé</t>
  </si>
  <si>
    <t xml:space="preserve">Déclaration mensuelle : CA du mois, à déclarer avant la fin du mois suivant (voir tableau ci-dessus).</t>
  </si>
  <si>
    <t xml:space="preserve">Reste avant seuil de franchise TVA</t>
  </si>
  <si>
    <t xml:space="preserve">Statut</t>
  </si>
  <si>
    <t xml:space="preserve">Livre des recettes</t>
  </si>
  <si>
    <t xml:space="preserve">Une ligne par encaissement, par ordre chronologique — montant réellement encaissé</t>
  </si>
  <si>
    <t xml:space="preserve">Total encaissé (toutes années) :</t>
  </si>
  <si>
    <t xml:space="preserve">Date d'encaissement</t>
  </si>
  <si>
    <t xml:space="preserve">N° facture</t>
  </si>
  <si>
    <t xml:space="preserve">Client</t>
  </si>
  <si>
    <t xml:space="preserve">Article / description</t>
  </si>
  <si>
    <t xml:space="preserve">Réf. stock</t>
  </si>
  <si>
    <t xml:space="preserve">Plateforme / canal</t>
  </si>
  <si>
    <t xml:space="preserve">Mode de paiement</t>
  </si>
  <si>
    <t xml:space="preserve">Montant encaissé (€)</t>
  </si>
  <si>
    <t xml:space="preserve">Commentaire</t>
  </si>
  <si>
    <t xml:space="preserve">F2026-001</t>
  </si>
  <si>
    <t xml:space="preserve">Marie D.</t>
  </si>
  <si>
    <t xml:space="preserve">Veste en cuir vintage</t>
  </si>
  <si>
    <t xml:space="preserve">A001</t>
  </si>
  <si>
    <t xml:space="preserve">Exemple — à effacer</t>
  </si>
  <si>
    <t xml:space="preserve">Registre des achats</t>
  </si>
  <si>
    <t xml:space="preserve">Une ligne par facture ou justificatif d'achat — conservez les pièces justificatives</t>
  </si>
  <si>
    <t xml:space="preserve">Total achats (toutes années) :</t>
  </si>
  <si>
    <t xml:space="preserve">Date</t>
  </si>
  <si>
    <t xml:space="preserve">Fournisseur / vendeur</t>
  </si>
  <si>
    <t xml:space="preserve">N° facture / justificatif</t>
  </si>
  <si>
    <t xml:space="preserve">Description</t>
  </si>
  <si>
    <t xml:space="preserve">Catégorie</t>
  </si>
  <si>
    <t xml:space="preserve">Montant payé TTC (€)</t>
  </si>
  <si>
    <t xml:space="preserve">Particulier (Leboncoin)</t>
  </si>
  <si>
    <t xml:space="preserve">Capture annonce</t>
  </si>
  <si>
    <t xml:space="preserve">La Poste</t>
  </si>
  <si>
    <t xml:space="preserve">Reçu 1234</t>
  </si>
  <si>
    <t xml:space="preserve">Enveloppes et cartons</t>
  </si>
  <si>
    <t xml:space="preserve">Suivi du stock et des marges</t>
  </si>
  <si>
    <t xml:space="preserve">Un article par ligne — les colonnes blanches se calculent seules</t>
  </si>
  <si>
    <t xml:space="preserve">Articles en stock</t>
  </si>
  <si>
    <t xml:space="preserve">Valeur du stock (achat)</t>
  </si>
  <si>
    <t xml:space="preserve">Articles vendus</t>
  </si>
  <si>
    <t xml:space="preserve">Marge nette totale</t>
  </si>
  <si>
    <t xml:space="preserve">Marge moyenne</t>
  </si>
  <si>
    <t xml:space="preserve">Jours en stock en rouge = article invendu depuis plus de 90 jours. Frais de vente = commission plateforme + port payé par vous.</t>
  </si>
  <si>
    <t xml:space="preserve">Réf.</t>
  </si>
  <si>
    <t xml:space="preserve">Article</t>
  </si>
  <si>
    <t xml:space="preserve">Catégorie / type</t>
  </si>
  <si>
    <t xml:space="preserve">Date d'achat</t>
  </si>
  <si>
    <t xml:space="preserve">Lieu / fournisseur</t>
  </si>
  <si>
    <t xml:space="preserve">Prix d'achat (€)</t>
  </si>
  <si>
    <t xml:space="preserve">Frais avant vente (€)</t>
  </si>
  <si>
    <t xml:space="preserve">Prix affiché (€)</t>
  </si>
  <si>
    <t xml:space="preserve">Date de vente</t>
  </si>
  <si>
    <t xml:space="preserve">Prix de vente (€)</t>
  </si>
  <si>
    <t xml:space="preserve">Frais de vente (€)</t>
  </si>
  <si>
    <t xml:space="preserve">Marge nette (€)</t>
  </si>
  <si>
    <t xml:space="preserve">Marge %</t>
  </si>
  <si>
    <t xml:space="preserve">Jours en stock</t>
  </si>
  <si>
    <t xml:space="preserve">Vêtement</t>
  </si>
  <si>
    <t xml:space="preserve">A002</t>
  </si>
  <si>
    <t xml:space="preserve">Lampe de bureau années 70</t>
  </si>
  <si>
    <t xml:space="preserve">Déco</t>
  </si>
  <si>
    <t xml:space="preserve">Brocante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</si>
</sst>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0%"/>
    <numFmt numFmtId="167" formatCode="0.000%"/>
    <numFmt numFmtId="168" formatCode="#,##0&quot; €&quot;"/>
    <numFmt numFmtId="169" formatCode="mmmm"/>
    <numFmt numFmtId="170" formatCode="#,##0.00&quot; €&quot;;\-#,##0.00&quot; €&quot;;\-"/>
    <numFmt numFmtId="171" formatCode="General"/>
    <numFmt numFmtId="172" formatCode="dd/mm/yyyy"/>
    <numFmt numFmtId="173" formatCode="0.0%;\-0.0%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DEDED"/>
      </patternFill>
    </fill>
    <fill>
      <patternFill patternType="solid">
        <fgColor rgb="FFEDEDED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ont>
        <name val="Arial"/>
        <charset val="1"/>
        <family val="0"/>
        <b val="1"/>
        <color rgb="FFC0000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C00000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9DB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339966"/>
      <rgbColor rgb="FF0061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/>
      <c r="B9" s="4"/>
    </row>
    <row r="10" customFormat="false" ht="15" hidden="false" customHeight="false" outlineLevel="0" collapsed="false">
      <c r="A10" s="3" t="s">
        <v>12</v>
      </c>
      <c r="B10" s="4" t="s">
        <v>13</v>
      </c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/>
      <c r="B12" s="4"/>
    </row>
    <row r="13" customFormat="false" ht="15" hidden="false" customHeight="false" outlineLevel="0" collapsed="false">
      <c r="A13" s="3" t="s">
        <v>16</v>
      </c>
      <c r="B13" s="4" t="s">
        <v>17</v>
      </c>
    </row>
    <row r="14" customFormat="false" ht="15" hidden="false" customHeight="false" outlineLevel="0" collapsed="false">
      <c r="A14" s="3"/>
      <c r="B14" s="4" t="s">
        <v>18</v>
      </c>
    </row>
    <row r="15" customFormat="false" ht="15" hidden="false" customHeight="false" outlineLevel="0" collapsed="false">
      <c r="A15" s="3"/>
      <c r="B15" s="4" t="s">
        <v>19</v>
      </c>
    </row>
    <row r="16" customFormat="false" ht="23.85" hidden="false" customHeight="false" outlineLevel="0" collapsed="false">
      <c r="A16" s="3"/>
      <c r="B16" s="4" t="s">
        <v>20</v>
      </c>
    </row>
    <row r="17" customFormat="false" ht="15" hidden="false" customHeight="false" outlineLevel="0" collapsed="false">
      <c r="A17" s="3"/>
      <c r="B17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7" min="5" style="0" width="26"/>
  </cols>
  <sheetData>
    <row r="1" customFormat="false" ht="19.7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3" customFormat="false" ht="15" hidden="false" customHeight="false" outlineLevel="0" collapsed="false">
      <c r="A3" s="5" t="s">
        <v>24</v>
      </c>
      <c r="E3" s="5" t="s">
        <v>25</v>
      </c>
    </row>
    <row r="4" customFormat="false" ht="15" hidden="false" customHeight="false" outlineLevel="0" collapsed="false">
      <c r="A4" s="6" t="s">
        <v>26</v>
      </c>
      <c r="B4" s="7" t="s">
        <v>27</v>
      </c>
      <c r="C4" s="2" t="s">
        <v>28</v>
      </c>
      <c r="E4" s="8" t="s">
        <v>29</v>
      </c>
      <c r="F4" s="8" t="s">
        <v>30</v>
      </c>
      <c r="G4" s="8" t="s">
        <v>31</v>
      </c>
    </row>
    <row r="5" customFormat="false" ht="15" hidden="false" customHeight="false" outlineLevel="0" collapsed="false">
      <c r="A5" s="6" t="s">
        <v>32</v>
      </c>
      <c r="B5" s="7" t="s">
        <v>33</v>
      </c>
      <c r="C5" s="2" t="s">
        <v>28</v>
      </c>
      <c r="E5" s="9" t="s">
        <v>34</v>
      </c>
      <c r="F5" s="9" t="s">
        <v>35</v>
      </c>
      <c r="G5" s="9" t="s">
        <v>36</v>
      </c>
    </row>
    <row r="6" customFormat="false" ht="15" hidden="false" customHeight="false" outlineLevel="0" collapsed="false">
      <c r="A6" s="6" t="s">
        <v>37</v>
      </c>
      <c r="B6" s="10" t="n">
        <v>2026</v>
      </c>
      <c r="C6" s="2" t="s">
        <v>38</v>
      </c>
      <c r="E6" s="9" t="s">
        <v>39</v>
      </c>
      <c r="F6" s="9" t="s">
        <v>40</v>
      </c>
      <c r="G6" s="9" t="s">
        <v>41</v>
      </c>
    </row>
    <row r="7" customFormat="false" ht="15" hidden="false" customHeight="false" outlineLevel="0" collapsed="false">
      <c r="A7" s="6" t="s">
        <v>42</v>
      </c>
      <c r="B7" s="7" t="s">
        <v>43</v>
      </c>
      <c r="C7" s="2" t="s">
        <v>44</v>
      </c>
      <c r="E7" s="9" t="s">
        <v>45</v>
      </c>
      <c r="F7" s="9" t="s">
        <v>46</v>
      </c>
      <c r="G7" s="9" t="s">
        <v>47</v>
      </c>
    </row>
    <row r="8" customFormat="false" ht="15" hidden="false" customHeight="false" outlineLevel="0" collapsed="false">
      <c r="A8" s="5" t="s">
        <v>48</v>
      </c>
      <c r="E8" s="9" t="s">
        <v>49</v>
      </c>
      <c r="F8" s="9" t="s">
        <v>50</v>
      </c>
      <c r="G8" s="9" t="s">
        <v>51</v>
      </c>
    </row>
    <row r="9" customFormat="false" ht="15" hidden="false" customHeight="false" outlineLevel="0" collapsed="false">
      <c r="A9" s="6" t="s">
        <v>52</v>
      </c>
      <c r="B9" s="11" t="n">
        <v>0.123</v>
      </c>
      <c r="C9" s="2" t="s">
        <v>53</v>
      </c>
      <c r="E9" s="9" t="s">
        <v>54</v>
      </c>
      <c r="F9" s="9" t="s">
        <v>55</v>
      </c>
      <c r="G9" s="9" t="s">
        <v>56</v>
      </c>
    </row>
    <row r="10" customFormat="false" ht="15" hidden="false" customHeight="false" outlineLevel="0" collapsed="false">
      <c r="A10" s="6" t="s">
        <v>57</v>
      </c>
      <c r="B10" s="7" t="s">
        <v>58</v>
      </c>
      <c r="C10" s="2" t="s">
        <v>59</v>
      </c>
      <c r="E10" s="9" t="s">
        <v>60</v>
      </c>
      <c r="F10" s="9" t="s">
        <v>61</v>
      </c>
      <c r="G10" s="9" t="s">
        <v>62</v>
      </c>
    </row>
    <row r="11" customFormat="false" ht="15" hidden="false" customHeight="false" outlineLevel="0" collapsed="false">
      <c r="A11" s="6" t="s">
        <v>63</v>
      </c>
      <c r="B11" s="11" t="n">
        <v>0.01</v>
      </c>
      <c r="C11" s="2" t="s">
        <v>64</v>
      </c>
      <c r="E11" s="9" t="s">
        <v>65</v>
      </c>
      <c r="F11" s="9" t="s">
        <v>65</v>
      </c>
      <c r="G11" s="9" t="s">
        <v>66</v>
      </c>
    </row>
    <row r="12" customFormat="false" ht="15" hidden="false" customHeight="false" outlineLevel="0" collapsed="false">
      <c r="A12" s="6" t="s">
        <v>67</v>
      </c>
      <c r="B12" s="12" t="n">
        <v>0.001</v>
      </c>
      <c r="C12" s="2" t="s">
        <v>68</v>
      </c>
      <c r="E12" s="9"/>
      <c r="F12" s="9"/>
      <c r="G12" s="9" t="s">
        <v>69</v>
      </c>
    </row>
    <row r="13" customFormat="false" ht="15" hidden="false" customHeight="false" outlineLevel="0" collapsed="false">
      <c r="A13" s="6" t="s">
        <v>70</v>
      </c>
      <c r="B13" s="12" t="n">
        <v>0.00015</v>
      </c>
      <c r="C13" s="2" t="s">
        <v>71</v>
      </c>
      <c r="E13" s="9"/>
      <c r="F13" s="9"/>
      <c r="G13" s="9" t="s">
        <v>72</v>
      </c>
    </row>
    <row r="14" customFormat="false" ht="15" hidden="false" customHeight="false" outlineLevel="0" collapsed="false">
      <c r="A14" s="5" t="s">
        <v>73</v>
      </c>
      <c r="E14" s="9"/>
      <c r="F14" s="9"/>
      <c r="G14" s="9"/>
    </row>
    <row r="15" customFormat="false" ht="15" hidden="false" customHeight="false" outlineLevel="0" collapsed="false">
      <c r="A15" s="6" t="s">
        <v>74</v>
      </c>
      <c r="B15" s="13" t="n">
        <v>203100</v>
      </c>
      <c r="C15" s="2" t="s">
        <v>75</v>
      </c>
      <c r="E15" s="9"/>
      <c r="F15" s="9"/>
      <c r="G15" s="9"/>
    </row>
    <row r="16" customFormat="false" ht="15" hidden="false" customHeight="false" outlineLevel="0" collapsed="false">
      <c r="A16" s="6" t="s">
        <v>76</v>
      </c>
      <c r="B16" s="13" t="n">
        <v>85000</v>
      </c>
      <c r="C16" s="2" t="s">
        <v>77</v>
      </c>
      <c r="E16" s="9"/>
      <c r="F16" s="9"/>
      <c r="G16" s="9"/>
    </row>
    <row r="17" customFormat="false" ht="15" hidden="false" customHeight="false" outlineLevel="0" collapsed="false">
      <c r="A17" s="6" t="s">
        <v>78</v>
      </c>
      <c r="B17" s="13" t="n">
        <v>93500</v>
      </c>
      <c r="C17" s="2" t="s">
        <v>79</v>
      </c>
      <c r="E17" s="9"/>
      <c r="F17" s="9"/>
      <c r="G17" s="9"/>
    </row>
    <row r="18" customFormat="false" ht="15" hidden="false" customHeight="false" outlineLevel="0" collapsed="false">
      <c r="E18" s="9"/>
      <c r="F18" s="9"/>
      <c r="G18" s="9"/>
    </row>
    <row r="19" customFormat="false" ht="15" hidden="false" customHeight="false" outlineLevel="0" collapsed="false">
      <c r="E19" s="9"/>
      <c r="F19" s="9"/>
      <c r="G19" s="9"/>
    </row>
  </sheetData>
  <dataValidations count="2">
    <dataValidation allowBlank="false" errorStyle="stop" operator="between" showDropDown="false" showErrorMessage="false" showInputMessage="false" sqref="B10" type="list">
      <formula1>"Oui,Non"</formula1>
      <formula2>0</formula2>
    </dataValidation>
    <dataValidation allowBlank="false" errorStyle="stop" operator="between" showDropDown="false" showErrorMessage="false" showInputMessage="false" sqref="B7" type="list">
      <formula1>"Mensuelle,Trimestrielle"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5"/>
    <col collapsed="false" customWidth="true" hidden="false" outlineLevel="0" max="5" min="4" style="0" width="14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11"/>
  </cols>
  <sheetData>
    <row r="1" customFormat="false" ht="19.7" hidden="false" customHeight="false" outlineLevel="0" collapsed="false">
      <c r="A1" s="1" t="str">
        <f aca="false">"Tableau de bord "&amp;Paramètres!$B$6&amp;" — "&amp;Paramètres!$B$4</f>
        <v>Tableau de bord 2026 — Mon entreprise</v>
      </c>
    </row>
    <row r="2" customFormat="false" ht="15" hidden="false" customHeight="false" outlineLevel="0" collapsed="false">
      <c r="A2" s="2" t="s">
        <v>80</v>
      </c>
    </row>
    <row r="3" customFormat="false" ht="15" hidden="false" customHeight="false" outlineLevel="0" collapsed="false">
      <c r="E3" s="2" t="s">
        <v>81</v>
      </c>
    </row>
    <row r="4" customFormat="false" ht="31.5" hidden="false" customHeight="true" outlineLevel="0" collapsed="false">
      <c r="A4" s="14" t="s">
        <v>82</v>
      </c>
      <c r="B4" s="14" t="s">
        <v>83</v>
      </c>
      <c r="C4" s="14" t="s">
        <v>84</v>
      </c>
      <c r="D4" s="14" t="s">
        <v>72</v>
      </c>
      <c r="E4" s="14" t="s">
        <v>85</v>
      </c>
      <c r="F4" s="14" t="s">
        <v>86</v>
      </c>
      <c r="G4" s="14" t="s">
        <v>87</v>
      </c>
      <c r="H4" s="14" t="s">
        <v>88</v>
      </c>
      <c r="I4" s="14" t="s">
        <v>89</v>
      </c>
      <c r="J4" s="14" t="s">
        <v>90</v>
      </c>
      <c r="K4" s="14" t="s">
        <v>91</v>
      </c>
      <c r="L4" s="14" t="s">
        <v>92</v>
      </c>
    </row>
    <row r="5" customFormat="false" ht="15" hidden="false" customHeight="false" outlineLevel="0" collapsed="false">
      <c r="A5" s="15" t="n">
        <f aca="false">DATE(Paramètres!$B$6,1,1)</f>
        <v>46023</v>
      </c>
      <c r="B5" s="16" t="n">
        <f aca="false">SUMIFS(Ventes!$H$5:$H$1004,Ventes!$A$5:$A$1004,"&gt;="&amp;A5,Ventes!$A$5:$A$1004,"&lt;"&amp;DATE(YEAR(A5),MONTH(A5)+1,1))</f>
        <v>65</v>
      </c>
      <c r="C5" s="16" t="n">
        <f aca="false">SUMIFS(Achats!$G$5:$G$1004,Achats!$A$5:$A$1004,"&gt;="&amp;A5,Achats!$A$5:$A$1004,"&lt;"&amp;DATE(YEAR(A5),MONTH(A5)+1,1),Achats!$E$5:$E$1004,"Marchandises (revente)")</f>
        <v>20</v>
      </c>
      <c r="D5" s="16" t="n">
        <f aca="false">SUMIFS(Achats!$G$5:$G$1004,Achats!$A$5:$A$1004,"&gt;="&amp;A5,Achats!$A$5:$A$1004,"&lt;"&amp;DATE(YEAR(A5),MONTH(A5)+1,1))-C5</f>
        <v>8.5</v>
      </c>
      <c r="E5" s="17" t="n">
        <f aca="false">ROUND(B5*Paramètres!$B$9,0)</f>
        <v>8</v>
      </c>
      <c r="F5" s="17" t="n">
        <f aca="false">ROUND(B5*Paramètres!$B$12,0)</f>
        <v>0</v>
      </c>
      <c r="G5" s="17" t="n">
        <f aca="false">ROUND(B5*Paramètres!$B$13,0)</f>
        <v>0</v>
      </c>
      <c r="H5" s="17" t="n">
        <f aca="false">IF(Paramètres!$B$10="Oui",ROUND(B5*Paramètres!$B$11,0),0)</f>
        <v>0</v>
      </c>
      <c r="I5" s="17" t="n">
        <f aca="false">SUM(E5:H5)</f>
        <v>8</v>
      </c>
      <c r="J5" s="17" t="n">
        <f aca="false">B5-C5-D5-I5</f>
        <v>28.5</v>
      </c>
      <c r="K5" s="17" t="n">
        <f aca="false">SUM($B$5:B5)</f>
        <v>65</v>
      </c>
      <c r="L5" s="18" t="n">
        <f aca="false">COUNTIFS(Ventes!$A$5:$A$1004,"&gt;="&amp;A5,Ventes!$A$5:$A$1004,"&lt;"&amp;DATE(YEAR(A5),MONTH(A5)+1,1))</f>
        <v>1</v>
      </c>
    </row>
    <row r="6" customFormat="false" ht="15" hidden="false" customHeight="false" outlineLevel="0" collapsed="false">
      <c r="A6" s="15" t="n">
        <f aca="false">DATE(Paramètres!$B$6,2,1)</f>
        <v>46054</v>
      </c>
      <c r="B6" s="16" t="n">
        <f aca="false">SUMIFS(Ventes!$H$5:$H$1004,Ventes!$A$5:$A$1004,"&gt;="&amp;A6,Ventes!$A$5:$A$1004,"&lt;"&amp;DATE(YEAR(A6),MONTH(A6)+1,1))</f>
        <v>0</v>
      </c>
      <c r="C6" s="16" t="n">
        <f aca="false">SUMIFS(Achats!$G$5:$G$1004,Achats!$A$5:$A$1004,"&gt;="&amp;A6,Achats!$A$5:$A$1004,"&lt;"&amp;DATE(YEAR(A6),MONTH(A6)+1,1),Achats!$E$5:$E$1004,"Marchandises (revente)")</f>
        <v>0</v>
      </c>
      <c r="D6" s="16" t="n">
        <f aca="false">SUMIFS(Achats!$G$5:$G$1004,Achats!$A$5:$A$1004,"&gt;="&amp;A6,Achats!$A$5:$A$1004,"&lt;"&amp;DATE(YEAR(A6),MONTH(A6)+1,1))-C6</f>
        <v>0</v>
      </c>
      <c r="E6" s="17" t="n">
        <f aca="false">ROUND(B6*Paramètres!$B$9,0)</f>
        <v>0</v>
      </c>
      <c r="F6" s="17" t="n">
        <f aca="false">ROUND(B6*Paramètres!$B$12,0)</f>
        <v>0</v>
      </c>
      <c r="G6" s="17" t="n">
        <f aca="false">ROUND(B6*Paramètres!$B$13,0)</f>
        <v>0</v>
      </c>
      <c r="H6" s="17" t="n">
        <f aca="false">IF(Paramètres!$B$10="Oui",ROUND(B6*Paramètres!$B$11,0),0)</f>
        <v>0</v>
      </c>
      <c r="I6" s="17" t="n">
        <f aca="false">SUM(E6:H6)</f>
        <v>0</v>
      </c>
      <c r="J6" s="17" t="n">
        <f aca="false">B6-C6-D6-I6</f>
        <v>0</v>
      </c>
      <c r="K6" s="17" t="n">
        <f aca="false">SUM($B$5:B6)</f>
        <v>65</v>
      </c>
      <c r="L6" s="18" t="n">
        <f aca="false">COUNTIFS(Ventes!$A$5:$A$1004,"&gt;="&amp;A6,Ventes!$A$5:$A$1004,"&lt;"&amp;DATE(YEAR(A6),MONTH(A6)+1,1))</f>
        <v>0</v>
      </c>
    </row>
    <row r="7" customFormat="false" ht="15" hidden="false" customHeight="false" outlineLevel="0" collapsed="false">
      <c r="A7" s="15" t="n">
        <f aca="false">DATE(Paramètres!$B$6,3,1)</f>
        <v>46082</v>
      </c>
      <c r="B7" s="16" t="n">
        <f aca="false">SUMIFS(Ventes!$H$5:$H$1004,Ventes!$A$5:$A$1004,"&gt;="&amp;A7,Ventes!$A$5:$A$1004,"&lt;"&amp;DATE(YEAR(A7),MONTH(A7)+1,1))</f>
        <v>0</v>
      </c>
      <c r="C7" s="16" t="n">
        <f aca="false">SUMIFS(Achats!$G$5:$G$1004,Achats!$A$5:$A$1004,"&gt;="&amp;A7,Achats!$A$5:$A$1004,"&lt;"&amp;DATE(YEAR(A7),MONTH(A7)+1,1),Achats!$E$5:$E$1004,"Marchandises (revente)")</f>
        <v>0</v>
      </c>
      <c r="D7" s="16" t="n">
        <f aca="false">SUMIFS(Achats!$G$5:$G$1004,Achats!$A$5:$A$1004,"&gt;="&amp;A7,Achats!$A$5:$A$1004,"&lt;"&amp;DATE(YEAR(A7),MONTH(A7)+1,1))-C7</f>
        <v>0</v>
      </c>
      <c r="E7" s="17" t="n">
        <f aca="false">ROUND(B7*Paramètres!$B$9,0)</f>
        <v>0</v>
      </c>
      <c r="F7" s="17" t="n">
        <f aca="false">ROUND(B7*Paramètres!$B$12,0)</f>
        <v>0</v>
      </c>
      <c r="G7" s="17" t="n">
        <f aca="false">ROUND(B7*Paramètres!$B$13,0)</f>
        <v>0</v>
      </c>
      <c r="H7" s="17" t="n">
        <f aca="false">IF(Paramètres!$B$10="Oui",ROUND(B7*Paramètres!$B$11,0),0)</f>
        <v>0</v>
      </c>
      <c r="I7" s="17" t="n">
        <f aca="false">SUM(E7:H7)</f>
        <v>0</v>
      </c>
      <c r="J7" s="17" t="n">
        <f aca="false">B7-C7-D7-I7</f>
        <v>0</v>
      </c>
      <c r="K7" s="17" t="n">
        <f aca="false">SUM($B$5:B7)</f>
        <v>65</v>
      </c>
      <c r="L7" s="18" t="n">
        <f aca="false">COUNTIFS(Ventes!$A$5:$A$1004,"&gt;="&amp;A7,Ventes!$A$5:$A$1004,"&lt;"&amp;DATE(YEAR(A7),MONTH(A7)+1,1))</f>
        <v>0</v>
      </c>
    </row>
    <row r="8" customFormat="false" ht="15" hidden="false" customHeight="false" outlineLevel="0" collapsed="false">
      <c r="A8" s="15" t="n">
        <f aca="false">DATE(Paramètres!$B$6,4,1)</f>
        <v>46113</v>
      </c>
      <c r="B8" s="16" t="n">
        <f aca="false">SUMIFS(Ventes!$H$5:$H$1004,Ventes!$A$5:$A$1004,"&gt;="&amp;A8,Ventes!$A$5:$A$1004,"&lt;"&amp;DATE(YEAR(A8),MONTH(A8)+1,1))</f>
        <v>0</v>
      </c>
      <c r="C8" s="16" t="n">
        <f aca="false">SUMIFS(Achats!$G$5:$G$1004,Achats!$A$5:$A$1004,"&gt;="&amp;A8,Achats!$A$5:$A$1004,"&lt;"&amp;DATE(YEAR(A8),MONTH(A8)+1,1),Achats!$E$5:$E$1004,"Marchandises (revente)")</f>
        <v>0</v>
      </c>
      <c r="D8" s="16" t="n">
        <f aca="false">SUMIFS(Achats!$G$5:$G$1004,Achats!$A$5:$A$1004,"&gt;="&amp;A8,Achats!$A$5:$A$1004,"&lt;"&amp;DATE(YEAR(A8),MONTH(A8)+1,1))-C8</f>
        <v>0</v>
      </c>
      <c r="E8" s="17" t="n">
        <f aca="false">ROUND(B8*Paramètres!$B$9,0)</f>
        <v>0</v>
      </c>
      <c r="F8" s="17" t="n">
        <f aca="false">ROUND(B8*Paramètres!$B$12,0)</f>
        <v>0</v>
      </c>
      <c r="G8" s="17" t="n">
        <f aca="false">ROUND(B8*Paramètres!$B$13,0)</f>
        <v>0</v>
      </c>
      <c r="H8" s="17" t="n">
        <f aca="false">IF(Paramètres!$B$10="Oui",ROUND(B8*Paramètres!$B$11,0),0)</f>
        <v>0</v>
      </c>
      <c r="I8" s="17" t="n">
        <f aca="false">SUM(E8:H8)</f>
        <v>0</v>
      </c>
      <c r="J8" s="17" t="n">
        <f aca="false">B8-C8-D8-I8</f>
        <v>0</v>
      </c>
      <c r="K8" s="17" t="n">
        <f aca="false">SUM($B$5:B8)</f>
        <v>65</v>
      </c>
      <c r="L8" s="18" t="n">
        <f aca="false">COUNTIFS(Ventes!$A$5:$A$1004,"&gt;="&amp;A8,Ventes!$A$5:$A$1004,"&lt;"&amp;DATE(YEAR(A8),MONTH(A8)+1,1))</f>
        <v>0</v>
      </c>
    </row>
    <row r="9" customFormat="false" ht="15" hidden="false" customHeight="false" outlineLevel="0" collapsed="false">
      <c r="A9" s="15" t="n">
        <f aca="false">DATE(Paramètres!$B$6,5,1)</f>
        <v>46143</v>
      </c>
      <c r="B9" s="16" t="n">
        <f aca="false">SUMIFS(Ventes!$H$5:$H$1004,Ventes!$A$5:$A$1004,"&gt;="&amp;A9,Ventes!$A$5:$A$1004,"&lt;"&amp;DATE(YEAR(A9),MONTH(A9)+1,1))</f>
        <v>0</v>
      </c>
      <c r="C9" s="16" t="n">
        <f aca="false">SUMIFS(Achats!$G$5:$G$1004,Achats!$A$5:$A$1004,"&gt;="&amp;A9,Achats!$A$5:$A$1004,"&lt;"&amp;DATE(YEAR(A9),MONTH(A9)+1,1),Achats!$E$5:$E$1004,"Marchandises (revente)")</f>
        <v>0</v>
      </c>
      <c r="D9" s="16" t="n">
        <f aca="false">SUMIFS(Achats!$G$5:$G$1004,Achats!$A$5:$A$1004,"&gt;="&amp;A9,Achats!$A$5:$A$1004,"&lt;"&amp;DATE(YEAR(A9),MONTH(A9)+1,1))-C9</f>
        <v>0</v>
      </c>
      <c r="E9" s="17" t="n">
        <f aca="false">ROUND(B9*Paramètres!$B$9,0)</f>
        <v>0</v>
      </c>
      <c r="F9" s="17" t="n">
        <f aca="false">ROUND(B9*Paramètres!$B$12,0)</f>
        <v>0</v>
      </c>
      <c r="G9" s="17" t="n">
        <f aca="false">ROUND(B9*Paramètres!$B$13,0)</f>
        <v>0</v>
      </c>
      <c r="H9" s="17" t="n">
        <f aca="false">IF(Paramètres!$B$10="Oui",ROUND(B9*Paramètres!$B$11,0),0)</f>
        <v>0</v>
      </c>
      <c r="I9" s="17" t="n">
        <f aca="false">SUM(E9:H9)</f>
        <v>0</v>
      </c>
      <c r="J9" s="17" t="n">
        <f aca="false">B9-C9-D9-I9</f>
        <v>0</v>
      </c>
      <c r="K9" s="17" t="n">
        <f aca="false">SUM($B$5:B9)</f>
        <v>65</v>
      </c>
      <c r="L9" s="18" t="n">
        <f aca="false">COUNTIFS(Ventes!$A$5:$A$1004,"&gt;="&amp;A9,Ventes!$A$5:$A$1004,"&lt;"&amp;DATE(YEAR(A9),MONTH(A9)+1,1))</f>
        <v>0</v>
      </c>
    </row>
    <row r="10" customFormat="false" ht="15" hidden="false" customHeight="false" outlineLevel="0" collapsed="false">
      <c r="A10" s="15" t="n">
        <f aca="false">DATE(Paramètres!$B$6,6,1)</f>
        <v>46174</v>
      </c>
      <c r="B10" s="16" t="n">
        <f aca="false">SUMIFS(Ventes!$H$5:$H$1004,Ventes!$A$5:$A$1004,"&gt;="&amp;A10,Ventes!$A$5:$A$1004,"&lt;"&amp;DATE(YEAR(A10),MONTH(A10)+1,1))</f>
        <v>0</v>
      </c>
      <c r="C10" s="16" t="n">
        <f aca="false">SUMIFS(Achats!$G$5:$G$1004,Achats!$A$5:$A$1004,"&gt;="&amp;A10,Achats!$A$5:$A$1004,"&lt;"&amp;DATE(YEAR(A10),MONTH(A10)+1,1),Achats!$E$5:$E$1004,"Marchandises (revente)")</f>
        <v>0</v>
      </c>
      <c r="D10" s="16" t="n">
        <f aca="false">SUMIFS(Achats!$G$5:$G$1004,Achats!$A$5:$A$1004,"&gt;="&amp;A10,Achats!$A$5:$A$1004,"&lt;"&amp;DATE(YEAR(A10),MONTH(A10)+1,1))-C10</f>
        <v>0</v>
      </c>
      <c r="E10" s="17" t="n">
        <f aca="false">ROUND(B10*Paramètres!$B$9,0)</f>
        <v>0</v>
      </c>
      <c r="F10" s="17" t="n">
        <f aca="false">ROUND(B10*Paramètres!$B$12,0)</f>
        <v>0</v>
      </c>
      <c r="G10" s="17" t="n">
        <f aca="false">ROUND(B10*Paramètres!$B$13,0)</f>
        <v>0</v>
      </c>
      <c r="H10" s="17" t="n">
        <f aca="false">IF(Paramètres!$B$10="Oui",ROUND(B10*Paramètres!$B$11,0),0)</f>
        <v>0</v>
      </c>
      <c r="I10" s="17" t="n">
        <f aca="false">SUM(E10:H10)</f>
        <v>0</v>
      </c>
      <c r="J10" s="17" t="n">
        <f aca="false">B10-C10-D10-I10</f>
        <v>0</v>
      </c>
      <c r="K10" s="17" t="n">
        <f aca="false">SUM($B$5:B10)</f>
        <v>65</v>
      </c>
      <c r="L10" s="18" t="n">
        <f aca="false">COUNTIFS(Ventes!$A$5:$A$1004,"&gt;="&amp;A10,Ventes!$A$5:$A$1004,"&lt;"&amp;DATE(YEAR(A10),MONTH(A10)+1,1))</f>
        <v>0</v>
      </c>
    </row>
    <row r="11" customFormat="false" ht="15" hidden="false" customHeight="false" outlineLevel="0" collapsed="false">
      <c r="A11" s="15" t="n">
        <f aca="false">DATE(Paramètres!$B$6,7,1)</f>
        <v>46204</v>
      </c>
      <c r="B11" s="16" t="n">
        <f aca="false">SUMIFS(Ventes!$H$5:$H$1004,Ventes!$A$5:$A$1004,"&gt;="&amp;A11,Ventes!$A$5:$A$1004,"&lt;"&amp;DATE(YEAR(A11),MONTH(A11)+1,1))</f>
        <v>0</v>
      </c>
      <c r="C11" s="16" t="n">
        <f aca="false">SUMIFS(Achats!$G$5:$G$1004,Achats!$A$5:$A$1004,"&gt;="&amp;A11,Achats!$A$5:$A$1004,"&lt;"&amp;DATE(YEAR(A11),MONTH(A11)+1,1),Achats!$E$5:$E$1004,"Marchandises (revente)")</f>
        <v>0</v>
      </c>
      <c r="D11" s="16" t="n">
        <f aca="false">SUMIFS(Achats!$G$5:$G$1004,Achats!$A$5:$A$1004,"&gt;="&amp;A11,Achats!$A$5:$A$1004,"&lt;"&amp;DATE(YEAR(A11),MONTH(A11)+1,1))-C11</f>
        <v>0</v>
      </c>
      <c r="E11" s="17" t="n">
        <f aca="false">ROUND(B11*Paramètres!$B$9,0)</f>
        <v>0</v>
      </c>
      <c r="F11" s="17" t="n">
        <f aca="false">ROUND(B11*Paramètres!$B$12,0)</f>
        <v>0</v>
      </c>
      <c r="G11" s="17" t="n">
        <f aca="false">ROUND(B11*Paramètres!$B$13,0)</f>
        <v>0</v>
      </c>
      <c r="H11" s="17" t="n">
        <f aca="false">IF(Paramètres!$B$10="Oui",ROUND(B11*Paramètres!$B$11,0),0)</f>
        <v>0</v>
      </c>
      <c r="I11" s="17" t="n">
        <f aca="false">SUM(E11:H11)</f>
        <v>0</v>
      </c>
      <c r="J11" s="17" t="n">
        <f aca="false">B11-C11-D11-I11</f>
        <v>0</v>
      </c>
      <c r="K11" s="17" t="n">
        <f aca="false">SUM($B$5:B11)</f>
        <v>65</v>
      </c>
      <c r="L11" s="18" t="n">
        <f aca="false">COUNTIFS(Ventes!$A$5:$A$1004,"&gt;="&amp;A11,Ventes!$A$5:$A$1004,"&lt;"&amp;DATE(YEAR(A11),MONTH(A11)+1,1))</f>
        <v>0</v>
      </c>
    </row>
    <row r="12" customFormat="false" ht="15" hidden="false" customHeight="false" outlineLevel="0" collapsed="false">
      <c r="A12" s="15" t="n">
        <f aca="false">DATE(Paramètres!$B$6,8,1)</f>
        <v>46235</v>
      </c>
      <c r="B12" s="16" t="n">
        <f aca="false">SUMIFS(Ventes!$H$5:$H$1004,Ventes!$A$5:$A$1004,"&gt;="&amp;A12,Ventes!$A$5:$A$1004,"&lt;"&amp;DATE(YEAR(A12),MONTH(A12)+1,1))</f>
        <v>0</v>
      </c>
      <c r="C12" s="16" t="n">
        <f aca="false">SUMIFS(Achats!$G$5:$G$1004,Achats!$A$5:$A$1004,"&gt;="&amp;A12,Achats!$A$5:$A$1004,"&lt;"&amp;DATE(YEAR(A12),MONTH(A12)+1,1),Achats!$E$5:$E$1004,"Marchandises (revente)")</f>
        <v>0</v>
      </c>
      <c r="D12" s="16" t="n">
        <f aca="false">SUMIFS(Achats!$G$5:$G$1004,Achats!$A$5:$A$1004,"&gt;="&amp;A12,Achats!$A$5:$A$1004,"&lt;"&amp;DATE(YEAR(A12),MONTH(A12)+1,1))-C12</f>
        <v>0</v>
      </c>
      <c r="E12" s="17" t="n">
        <f aca="false">ROUND(B12*Paramètres!$B$9,0)</f>
        <v>0</v>
      </c>
      <c r="F12" s="17" t="n">
        <f aca="false">ROUND(B12*Paramètres!$B$12,0)</f>
        <v>0</v>
      </c>
      <c r="G12" s="17" t="n">
        <f aca="false">ROUND(B12*Paramètres!$B$13,0)</f>
        <v>0</v>
      </c>
      <c r="H12" s="17" t="n">
        <f aca="false">IF(Paramètres!$B$10="Oui",ROUND(B12*Paramètres!$B$11,0),0)</f>
        <v>0</v>
      </c>
      <c r="I12" s="17" t="n">
        <f aca="false">SUM(E12:H12)</f>
        <v>0</v>
      </c>
      <c r="J12" s="17" t="n">
        <f aca="false">B12-C12-D12-I12</f>
        <v>0</v>
      </c>
      <c r="K12" s="17" t="n">
        <f aca="false">SUM($B$5:B12)</f>
        <v>65</v>
      </c>
      <c r="L12" s="18" t="n">
        <f aca="false">COUNTIFS(Ventes!$A$5:$A$1004,"&gt;="&amp;A12,Ventes!$A$5:$A$1004,"&lt;"&amp;DATE(YEAR(A12),MONTH(A12)+1,1))</f>
        <v>0</v>
      </c>
    </row>
    <row r="13" customFormat="false" ht="15" hidden="false" customHeight="false" outlineLevel="0" collapsed="false">
      <c r="A13" s="15" t="n">
        <f aca="false">DATE(Paramètres!$B$6,9,1)</f>
        <v>46266</v>
      </c>
      <c r="B13" s="16" t="n">
        <f aca="false">SUMIFS(Ventes!$H$5:$H$1004,Ventes!$A$5:$A$1004,"&gt;="&amp;A13,Ventes!$A$5:$A$1004,"&lt;"&amp;DATE(YEAR(A13),MONTH(A13)+1,1))</f>
        <v>0</v>
      </c>
      <c r="C13" s="16" t="n">
        <f aca="false">SUMIFS(Achats!$G$5:$G$1004,Achats!$A$5:$A$1004,"&gt;="&amp;A13,Achats!$A$5:$A$1004,"&lt;"&amp;DATE(YEAR(A13),MONTH(A13)+1,1),Achats!$E$5:$E$1004,"Marchandises (revente)")</f>
        <v>0</v>
      </c>
      <c r="D13" s="16" t="n">
        <f aca="false">SUMIFS(Achats!$G$5:$G$1004,Achats!$A$5:$A$1004,"&gt;="&amp;A13,Achats!$A$5:$A$1004,"&lt;"&amp;DATE(YEAR(A13),MONTH(A13)+1,1))-C13</f>
        <v>0</v>
      </c>
      <c r="E13" s="17" t="n">
        <f aca="false">ROUND(B13*Paramètres!$B$9,0)</f>
        <v>0</v>
      </c>
      <c r="F13" s="17" t="n">
        <f aca="false">ROUND(B13*Paramètres!$B$12,0)</f>
        <v>0</v>
      </c>
      <c r="G13" s="17" t="n">
        <f aca="false">ROUND(B13*Paramètres!$B$13,0)</f>
        <v>0</v>
      </c>
      <c r="H13" s="17" t="n">
        <f aca="false">IF(Paramètres!$B$10="Oui",ROUND(B13*Paramètres!$B$11,0),0)</f>
        <v>0</v>
      </c>
      <c r="I13" s="17" t="n">
        <f aca="false">SUM(E13:H13)</f>
        <v>0</v>
      </c>
      <c r="J13" s="17" t="n">
        <f aca="false">B13-C13-D13-I13</f>
        <v>0</v>
      </c>
      <c r="K13" s="17" t="n">
        <f aca="false">SUM($B$5:B13)</f>
        <v>65</v>
      </c>
      <c r="L13" s="18" t="n">
        <f aca="false">COUNTIFS(Ventes!$A$5:$A$1004,"&gt;="&amp;A13,Ventes!$A$5:$A$1004,"&lt;"&amp;DATE(YEAR(A13),MONTH(A13)+1,1))</f>
        <v>0</v>
      </c>
    </row>
    <row r="14" customFormat="false" ht="15" hidden="false" customHeight="false" outlineLevel="0" collapsed="false">
      <c r="A14" s="15" t="n">
        <f aca="false">DATE(Paramètres!$B$6,10,1)</f>
        <v>46296</v>
      </c>
      <c r="B14" s="16" t="n">
        <f aca="false">SUMIFS(Ventes!$H$5:$H$1004,Ventes!$A$5:$A$1004,"&gt;="&amp;A14,Ventes!$A$5:$A$1004,"&lt;"&amp;DATE(YEAR(A14),MONTH(A14)+1,1))</f>
        <v>0</v>
      </c>
      <c r="C14" s="16" t="n">
        <f aca="false">SUMIFS(Achats!$G$5:$G$1004,Achats!$A$5:$A$1004,"&gt;="&amp;A14,Achats!$A$5:$A$1004,"&lt;"&amp;DATE(YEAR(A14),MONTH(A14)+1,1),Achats!$E$5:$E$1004,"Marchandises (revente)")</f>
        <v>0</v>
      </c>
      <c r="D14" s="16" t="n">
        <f aca="false">SUMIFS(Achats!$G$5:$G$1004,Achats!$A$5:$A$1004,"&gt;="&amp;A14,Achats!$A$5:$A$1004,"&lt;"&amp;DATE(YEAR(A14),MONTH(A14)+1,1))-C14</f>
        <v>0</v>
      </c>
      <c r="E14" s="17" t="n">
        <f aca="false">ROUND(B14*Paramètres!$B$9,0)</f>
        <v>0</v>
      </c>
      <c r="F14" s="17" t="n">
        <f aca="false">ROUND(B14*Paramètres!$B$12,0)</f>
        <v>0</v>
      </c>
      <c r="G14" s="17" t="n">
        <f aca="false">ROUND(B14*Paramètres!$B$13,0)</f>
        <v>0</v>
      </c>
      <c r="H14" s="17" t="n">
        <f aca="false">IF(Paramètres!$B$10="Oui",ROUND(B14*Paramètres!$B$11,0),0)</f>
        <v>0</v>
      </c>
      <c r="I14" s="17" t="n">
        <f aca="false">SUM(E14:H14)</f>
        <v>0</v>
      </c>
      <c r="J14" s="17" t="n">
        <f aca="false">B14-C14-D14-I14</f>
        <v>0</v>
      </c>
      <c r="K14" s="17" t="n">
        <f aca="false">SUM($B$5:B14)</f>
        <v>65</v>
      </c>
      <c r="L14" s="18" t="n">
        <f aca="false">COUNTIFS(Ventes!$A$5:$A$1004,"&gt;="&amp;A14,Ventes!$A$5:$A$1004,"&lt;"&amp;DATE(YEAR(A14),MONTH(A14)+1,1))</f>
        <v>0</v>
      </c>
    </row>
    <row r="15" customFormat="false" ht="15" hidden="false" customHeight="false" outlineLevel="0" collapsed="false">
      <c r="A15" s="15" t="n">
        <f aca="false">DATE(Paramètres!$B$6,11,1)</f>
        <v>46327</v>
      </c>
      <c r="B15" s="16" t="n">
        <f aca="false">SUMIFS(Ventes!$H$5:$H$1004,Ventes!$A$5:$A$1004,"&gt;="&amp;A15,Ventes!$A$5:$A$1004,"&lt;"&amp;DATE(YEAR(A15),MONTH(A15)+1,1))</f>
        <v>0</v>
      </c>
      <c r="C15" s="16" t="n">
        <f aca="false">SUMIFS(Achats!$G$5:$G$1004,Achats!$A$5:$A$1004,"&gt;="&amp;A15,Achats!$A$5:$A$1004,"&lt;"&amp;DATE(YEAR(A15),MONTH(A15)+1,1),Achats!$E$5:$E$1004,"Marchandises (revente)")</f>
        <v>0</v>
      </c>
      <c r="D15" s="16" t="n">
        <f aca="false">SUMIFS(Achats!$G$5:$G$1004,Achats!$A$5:$A$1004,"&gt;="&amp;A15,Achats!$A$5:$A$1004,"&lt;"&amp;DATE(YEAR(A15),MONTH(A15)+1,1))-C15</f>
        <v>0</v>
      </c>
      <c r="E15" s="17" t="n">
        <f aca="false">ROUND(B15*Paramètres!$B$9,0)</f>
        <v>0</v>
      </c>
      <c r="F15" s="17" t="n">
        <f aca="false">ROUND(B15*Paramètres!$B$12,0)</f>
        <v>0</v>
      </c>
      <c r="G15" s="17" t="n">
        <f aca="false">ROUND(B15*Paramètres!$B$13,0)</f>
        <v>0</v>
      </c>
      <c r="H15" s="17" t="n">
        <f aca="false">IF(Paramètres!$B$10="Oui",ROUND(B15*Paramètres!$B$11,0),0)</f>
        <v>0</v>
      </c>
      <c r="I15" s="17" t="n">
        <f aca="false">SUM(E15:H15)</f>
        <v>0</v>
      </c>
      <c r="J15" s="17" t="n">
        <f aca="false">B15-C15-D15-I15</f>
        <v>0</v>
      </c>
      <c r="K15" s="17" t="n">
        <f aca="false">SUM($B$5:B15)</f>
        <v>65</v>
      </c>
      <c r="L15" s="18" t="n">
        <f aca="false">COUNTIFS(Ventes!$A$5:$A$1004,"&gt;="&amp;A15,Ventes!$A$5:$A$1004,"&lt;"&amp;DATE(YEAR(A15),MONTH(A15)+1,1))</f>
        <v>0</v>
      </c>
    </row>
    <row r="16" customFormat="false" ht="15" hidden="false" customHeight="false" outlineLevel="0" collapsed="false">
      <c r="A16" s="15" t="n">
        <f aca="false">DATE(Paramètres!$B$6,12,1)</f>
        <v>46357</v>
      </c>
      <c r="B16" s="16" t="n">
        <f aca="false">SUMIFS(Ventes!$H$5:$H$1004,Ventes!$A$5:$A$1004,"&gt;="&amp;A16,Ventes!$A$5:$A$1004,"&lt;"&amp;DATE(YEAR(A16),MONTH(A16)+1,1))</f>
        <v>0</v>
      </c>
      <c r="C16" s="16" t="n">
        <f aca="false">SUMIFS(Achats!$G$5:$G$1004,Achats!$A$5:$A$1004,"&gt;="&amp;A16,Achats!$A$5:$A$1004,"&lt;"&amp;DATE(YEAR(A16),MONTH(A16)+1,1),Achats!$E$5:$E$1004,"Marchandises (revente)")</f>
        <v>0</v>
      </c>
      <c r="D16" s="16" t="n">
        <f aca="false">SUMIFS(Achats!$G$5:$G$1004,Achats!$A$5:$A$1004,"&gt;="&amp;A16,Achats!$A$5:$A$1004,"&lt;"&amp;DATE(YEAR(A16),MONTH(A16)+1,1))-C16</f>
        <v>0</v>
      </c>
      <c r="E16" s="17" t="n">
        <f aca="false">ROUND(B16*Paramètres!$B$9,0)</f>
        <v>0</v>
      </c>
      <c r="F16" s="17" t="n">
        <f aca="false">ROUND(B16*Paramètres!$B$12,0)</f>
        <v>0</v>
      </c>
      <c r="G16" s="17" t="n">
        <f aca="false">ROUND(B16*Paramètres!$B$13,0)</f>
        <v>0</v>
      </c>
      <c r="H16" s="17" t="n">
        <f aca="false">IF(Paramètres!$B$10="Oui",ROUND(B16*Paramètres!$B$11,0),0)</f>
        <v>0</v>
      </c>
      <c r="I16" s="17" t="n">
        <f aca="false">SUM(E16:H16)</f>
        <v>0</v>
      </c>
      <c r="J16" s="17" t="n">
        <f aca="false">B16-C16-D16-I16</f>
        <v>0</v>
      </c>
      <c r="K16" s="17" t="n">
        <f aca="false">SUM($B$5:B16)</f>
        <v>65</v>
      </c>
      <c r="L16" s="18" t="n">
        <f aca="false">COUNTIFS(Ventes!$A$5:$A$1004,"&gt;="&amp;A16,Ventes!$A$5:$A$1004,"&lt;"&amp;DATE(YEAR(A16),MONTH(A16)+1,1))</f>
        <v>0</v>
      </c>
    </row>
    <row r="17" customFormat="false" ht="15" hidden="false" customHeight="false" outlineLevel="0" collapsed="false">
      <c r="A17" s="19" t="s">
        <v>93</v>
      </c>
      <c r="B17" s="20" t="n">
        <f aca="false">SUM(B5:B16)</f>
        <v>65</v>
      </c>
      <c r="C17" s="20" t="n">
        <f aca="false">SUM(C5:C16)</f>
        <v>20</v>
      </c>
      <c r="D17" s="20" t="n">
        <f aca="false">SUM(D5:D16)</f>
        <v>8.5</v>
      </c>
      <c r="E17" s="20" t="n">
        <f aca="false">SUM(E5:E16)</f>
        <v>8</v>
      </c>
      <c r="F17" s="20" t="n">
        <f aca="false">SUM(F5:F16)</f>
        <v>0</v>
      </c>
      <c r="G17" s="20" t="n">
        <f aca="false">SUM(G5:G16)</f>
        <v>0</v>
      </c>
      <c r="H17" s="20" t="n">
        <f aca="false">SUM(H5:H16)</f>
        <v>0</v>
      </c>
      <c r="I17" s="20" t="n">
        <f aca="false">SUM(I5:I16)</f>
        <v>8</v>
      </c>
      <c r="J17" s="20" t="n">
        <f aca="false">SUM(J5:J16)</f>
        <v>28.5</v>
      </c>
      <c r="K17" s="20"/>
      <c r="L17" s="19" t="n">
        <f aca="false">SUM(L5:L16)</f>
        <v>1</v>
      </c>
    </row>
    <row r="19" customFormat="false" ht="15" hidden="false" customHeight="false" outlineLevel="0" collapsed="false">
      <c r="A19" s="21" t="s">
        <v>94</v>
      </c>
      <c r="F19" s="21" t="s">
        <v>95</v>
      </c>
    </row>
    <row r="20" customFormat="false" ht="23.85" hidden="false" customHeight="false" outlineLevel="0" collapsed="false">
      <c r="A20" s="22" t="s">
        <v>96</v>
      </c>
      <c r="B20" s="22" t="s">
        <v>97</v>
      </c>
      <c r="C20" s="22" t="s">
        <v>98</v>
      </c>
      <c r="D20" s="22" t="s">
        <v>99</v>
      </c>
      <c r="F20" s="23" t="s">
        <v>100</v>
      </c>
      <c r="G20" s="23"/>
      <c r="H20" s="23"/>
      <c r="I20" s="23"/>
      <c r="J20" s="24" t="n">
        <f aca="false">B17</f>
        <v>65</v>
      </c>
      <c r="K20" s="24"/>
    </row>
    <row r="21" customFormat="false" ht="15" hidden="false" customHeight="false" outlineLevel="0" collapsed="false">
      <c r="A21" s="25" t="s">
        <v>101</v>
      </c>
      <c r="B21" s="17" t="n">
        <f aca="false">SUM(B5:B7)</f>
        <v>65</v>
      </c>
      <c r="C21" s="17" t="n">
        <f aca="false">SUM(I5:I7)</f>
        <v>8</v>
      </c>
      <c r="D21" s="26" t="n">
        <f aca="false">DATE(Paramètres!$B$6,4,30)</f>
        <v>46142</v>
      </c>
      <c r="F21" s="23" t="s">
        <v>102</v>
      </c>
      <c r="G21" s="23"/>
      <c r="H21" s="23"/>
      <c r="I21" s="23"/>
      <c r="J21" s="24" t="n">
        <f aca="false">B17-C17</f>
        <v>45</v>
      </c>
      <c r="K21" s="24"/>
    </row>
    <row r="22" customFormat="false" ht="15" hidden="false" customHeight="false" outlineLevel="0" collapsed="false">
      <c r="A22" s="25" t="s">
        <v>103</v>
      </c>
      <c r="B22" s="17" t="n">
        <f aca="false">SUM(B8:B10)</f>
        <v>0</v>
      </c>
      <c r="C22" s="17" t="n">
        <f aca="false">SUM(I8:I10)</f>
        <v>0</v>
      </c>
      <c r="D22" s="26" t="n">
        <f aca="false">DATE(Paramètres!$B$6,7,31)</f>
        <v>46234</v>
      </c>
      <c r="F22" s="23" t="s">
        <v>104</v>
      </c>
      <c r="G22" s="23"/>
      <c r="H22" s="23"/>
      <c r="I22" s="23"/>
      <c r="J22" s="27" t="n">
        <f aca="false">IFERROR((B17-C17)/B17,0)</f>
        <v>0.692307692307692</v>
      </c>
      <c r="K22" s="27"/>
    </row>
    <row r="23" customFormat="false" ht="15" hidden="false" customHeight="false" outlineLevel="0" collapsed="false">
      <c r="A23" s="25" t="s">
        <v>105</v>
      </c>
      <c r="B23" s="17" t="n">
        <f aca="false">SUM(B11:B13)</f>
        <v>0</v>
      </c>
      <c r="C23" s="17" t="n">
        <f aca="false">SUM(I11:I13)</f>
        <v>0</v>
      </c>
      <c r="D23" s="26" t="n">
        <f aca="false">DATE(Paramètres!$B$6,10,31)</f>
        <v>46326</v>
      </c>
      <c r="F23" s="23" t="s">
        <v>106</v>
      </c>
      <c r="G23" s="23"/>
      <c r="H23" s="23"/>
      <c r="I23" s="23"/>
      <c r="J23" s="24" t="n">
        <f aca="false">J17</f>
        <v>28.5</v>
      </c>
      <c r="K23" s="24"/>
    </row>
    <row r="24" customFormat="false" ht="15" hidden="false" customHeight="false" outlineLevel="0" collapsed="false">
      <c r="A24" s="25" t="s">
        <v>107</v>
      </c>
      <c r="B24" s="17" t="n">
        <f aca="false">SUM(B14:B16)</f>
        <v>0</v>
      </c>
      <c r="C24" s="17" t="n">
        <f aca="false">SUM(I14:I16)</f>
        <v>0</v>
      </c>
      <c r="D24" s="26" t="n">
        <f aca="false">DATE(Paramètres!$B$6+1,1,31)</f>
        <v>46418</v>
      </c>
      <c r="F24" s="23" t="s">
        <v>108</v>
      </c>
      <c r="G24" s="23"/>
      <c r="H24" s="23"/>
      <c r="I24" s="23"/>
      <c r="J24" s="27" t="n">
        <f aca="false">IFERROR(B17/Paramètres!$B$15,0)</f>
        <v>0.000320039389463319</v>
      </c>
      <c r="K24" s="27"/>
    </row>
    <row r="25" customFormat="false" ht="15" hidden="false" customHeight="false" outlineLevel="0" collapsed="false">
      <c r="A25" s="2" t="s">
        <v>109</v>
      </c>
      <c r="F25" s="23" t="s">
        <v>110</v>
      </c>
      <c r="G25" s="23"/>
      <c r="H25" s="23"/>
      <c r="I25" s="23"/>
      <c r="J25" s="24" t="n">
        <f aca="false">Paramètres!$B$16-B17</f>
        <v>84935</v>
      </c>
      <c r="K25" s="24"/>
    </row>
    <row r="26" customFormat="false" ht="15" hidden="false" customHeight="false" outlineLevel="0" collapsed="false">
      <c r="F26" s="23" t="s">
        <v>111</v>
      </c>
      <c r="G26" s="23"/>
      <c r="H26" s="23"/>
      <c r="I26" s="23"/>
      <c r="J26" s="28" t="str">
        <f aca="false">IF(B17&gt;Paramètres!$B$15,"⚠ Plafond micro dépassé",IF(B17&gt;Paramètres!$B$17,"⚠ TVA due (seuil majoré dépassé)",IF(B17&gt;Paramètres!$B$16,"⚠ Seuil TVA de base dépassé — surveiller",IF(B17&gt;0.8*Paramètres!$B$16,"Attention : 80 % du seuil TVA atteint","✔ OK"))))</f>
        <v>✔ OK</v>
      </c>
      <c r="K26" s="28"/>
    </row>
  </sheetData>
  <mergeCells count="14">
    <mergeCell ref="F20:I20"/>
    <mergeCell ref="J20:K20"/>
    <mergeCell ref="F21:I21"/>
    <mergeCell ref="J21:K21"/>
    <mergeCell ref="F22:I22"/>
    <mergeCell ref="J22:K22"/>
    <mergeCell ref="F23:I23"/>
    <mergeCell ref="J23:K23"/>
    <mergeCell ref="F24:I24"/>
    <mergeCell ref="J24:K24"/>
    <mergeCell ref="F25:I25"/>
    <mergeCell ref="J25:K25"/>
    <mergeCell ref="F26:I26"/>
    <mergeCell ref="J26:K26"/>
  </mergeCells>
  <conditionalFormatting sqref="J26">
    <cfRule type="expression" priority="2" aboveAverage="0" equalAverage="0" bottom="0" percent="0" rank="0" text="" dxfId="0">
      <formula>LEFT(J26,1)="⚠"</formula>
    </cfRule>
  </conditionalFormatting>
  <conditionalFormatting sqref="J25"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11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30"/>
  </cols>
  <sheetData>
    <row r="1" customFormat="false" ht="19.7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  <c r="G2" s="29" t="s">
        <v>114</v>
      </c>
      <c r="H2" s="30" t="n">
        <f aca="false">SUM(H5:H1004)</f>
        <v>65</v>
      </c>
    </row>
    <row r="4" customFormat="false" ht="31.5" hidden="false" customHeight="true" outlineLevel="0" collapsed="false">
      <c r="A4" s="14" t="s">
        <v>115</v>
      </c>
      <c r="B4" s="14" t="s">
        <v>116</v>
      </c>
      <c r="C4" s="14" t="s">
        <v>117</v>
      </c>
      <c r="D4" s="14" t="s">
        <v>118</v>
      </c>
      <c r="E4" s="14" t="s">
        <v>119</v>
      </c>
      <c r="F4" s="14" t="s">
        <v>120</v>
      </c>
      <c r="G4" s="14" t="s">
        <v>121</v>
      </c>
      <c r="H4" s="14" t="s">
        <v>122</v>
      </c>
      <c r="I4" s="14" t="s">
        <v>123</v>
      </c>
    </row>
    <row r="5" customFormat="false" ht="15" hidden="false" customHeight="false" outlineLevel="0" collapsed="false">
      <c r="A5" s="31" t="n">
        <v>46034</v>
      </c>
      <c r="B5" s="32" t="s">
        <v>124</v>
      </c>
      <c r="C5" s="32" t="s">
        <v>125</v>
      </c>
      <c r="D5" s="32" t="s">
        <v>126</v>
      </c>
      <c r="E5" s="32" t="s">
        <v>127</v>
      </c>
      <c r="F5" s="32" t="s">
        <v>34</v>
      </c>
      <c r="G5" s="32" t="s">
        <v>61</v>
      </c>
      <c r="H5" s="33" t="n">
        <v>65</v>
      </c>
      <c r="I5" s="32" t="s">
        <v>128</v>
      </c>
    </row>
    <row r="6" customFormat="false" ht="15" hidden="false" customHeight="false" outlineLevel="0" collapsed="false">
      <c r="A6" s="34"/>
      <c r="B6" s="9"/>
      <c r="C6" s="9"/>
      <c r="D6" s="9"/>
      <c r="E6" s="9"/>
      <c r="F6" s="9"/>
      <c r="G6" s="9"/>
      <c r="H6" s="35"/>
      <c r="I6" s="9"/>
    </row>
    <row r="7" customFormat="false" ht="15" hidden="false" customHeight="false" outlineLevel="0" collapsed="false">
      <c r="A7" s="34"/>
      <c r="B7" s="9"/>
      <c r="C7" s="9"/>
      <c r="D7" s="9"/>
      <c r="E7" s="9"/>
      <c r="F7" s="9"/>
      <c r="G7" s="9"/>
      <c r="H7" s="35"/>
      <c r="I7" s="9"/>
    </row>
    <row r="8" customFormat="false" ht="15" hidden="false" customHeight="false" outlineLevel="0" collapsed="false">
      <c r="A8" s="34"/>
      <c r="B8" s="9"/>
      <c r="C8" s="9"/>
      <c r="D8" s="9"/>
      <c r="E8" s="9"/>
      <c r="F8" s="9"/>
      <c r="G8" s="9"/>
      <c r="H8" s="35"/>
      <c r="I8" s="9"/>
    </row>
    <row r="9" customFormat="false" ht="15" hidden="false" customHeight="false" outlineLevel="0" collapsed="false">
      <c r="A9" s="34"/>
      <c r="B9" s="9"/>
      <c r="C9" s="9"/>
      <c r="D9" s="9"/>
      <c r="E9" s="9"/>
      <c r="F9" s="9"/>
      <c r="G9" s="9"/>
      <c r="H9" s="35"/>
      <c r="I9" s="9"/>
    </row>
    <row r="10" customFormat="false" ht="15" hidden="false" customHeight="false" outlineLevel="0" collapsed="false">
      <c r="A10" s="34"/>
      <c r="B10" s="9"/>
      <c r="C10" s="9"/>
      <c r="D10" s="9"/>
      <c r="E10" s="9"/>
      <c r="F10" s="9"/>
      <c r="G10" s="9"/>
      <c r="H10" s="35"/>
      <c r="I10" s="9"/>
    </row>
    <row r="11" customFormat="false" ht="15" hidden="false" customHeight="false" outlineLevel="0" collapsed="false">
      <c r="A11" s="34"/>
      <c r="B11" s="9"/>
      <c r="C11" s="9"/>
      <c r="D11" s="9"/>
      <c r="E11" s="9"/>
      <c r="F11" s="9"/>
      <c r="G11" s="9"/>
      <c r="H11" s="35"/>
      <c r="I11" s="9"/>
    </row>
    <row r="12" customFormat="false" ht="15" hidden="false" customHeight="false" outlineLevel="0" collapsed="false">
      <c r="A12" s="34"/>
      <c r="B12" s="9"/>
      <c r="C12" s="9"/>
      <c r="D12" s="9"/>
      <c r="E12" s="9"/>
      <c r="F12" s="9"/>
      <c r="G12" s="9"/>
      <c r="H12" s="35"/>
      <c r="I12" s="9"/>
    </row>
    <row r="13" customFormat="false" ht="15" hidden="false" customHeight="false" outlineLevel="0" collapsed="false">
      <c r="A13" s="34"/>
      <c r="B13" s="9"/>
      <c r="C13" s="9"/>
      <c r="D13" s="9"/>
      <c r="E13" s="9"/>
      <c r="F13" s="9"/>
      <c r="G13" s="9"/>
      <c r="H13" s="35"/>
      <c r="I13" s="9"/>
    </row>
    <row r="14" customFormat="false" ht="15" hidden="false" customHeight="false" outlineLevel="0" collapsed="false">
      <c r="A14" s="34"/>
      <c r="B14" s="9"/>
      <c r="C14" s="9"/>
      <c r="D14" s="9"/>
      <c r="E14" s="9"/>
      <c r="F14" s="9"/>
      <c r="G14" s="9"/>
      <c r="H14" s="35"/>
      <c r="I14" s="9"/>
    </row>
    <row r="15" customFormat="false" ht="15" hidden="false" customHeight="false" outlineLevel="0" collapsed="false">
      <c r="A15" s="34"/>
      <c r="B15" s="9"/>
      <c r="C15" s="9"/>
      <c r="D15" s="9"/>
      <c r="E15" s="9"/>
      <c r="F15" s="9"/>
      <c r="G15" s="9"/>
      <c r="H15" s="35"/>
      <c r="I15" s="9"/>
    </row>
    <row r="16" customFormat="false" ht="15" hidden="false" customHeight="false" outlineLevel="0" collapsed="false">
      <c r="A16" s="34"/>
      <c r="B16" s="9"/>
      <c r="C16" s="9"/>
      <c r="D16" s="9"/>
      <c r="E16" s="9"/>
      <c r="F16" s="9"/>
      <c r="G16" s="9"/>
      <c r="H16" s="35"/>
      <c r="I16" s="9"/>
    </row>
    <row r="17" customFormat="false" ht="15" hidden="false" customHeight="false" outlineLevel="0" collapsed="false">
      <c r="A17" s="34"/>
      <c r="B17" s="9"/>
      <c r="C17" s="9"/>
      <c r="D17" s="9"/>
      <c r="E17" s="9"/>
      <c r="F17" s="9"/>
      <c r="G17" s="9"/>
      <c r="H17" s="35"/>
      <c r="I17" s="9"/>
    </row>
    <row r="18" customFormat="false" ht="15" hidden="false" customHeight="false" outlineLevel="0" collapsed="false">
      <c r="A18" s="34"/>
      <c r="B18" s="9"/>
      <c r="C18" s="9"/>
      <c r="D18" s="9"/>
      <c r="E18" s="9"/>
      <c r="F18" s="9"/>
      <c r="G18" s="9"/>
      <c r="H18" s="35"/>
      <c r="I18" s="9"/>
    </row>
    <row r="19" customFormat="false" ht="15" hidden="false" customHeight="false" outlineLevel="0" collapsed="false">
      <c r="A19" s="34"/>
      <c r="B19" s="9"/>
      <c r="C19" s="9"/>
      <c r="D19" s="9"/>
      <c r="E19" s="9"/>
      <c r="F19" s="9"/>
      <c r="G19" s="9"/>
      <c r="H19" s="35"/>
      <c r="I19" s="9"/>
    </row>
    <row r="20" customFormat="false" ht="15" hidden="false" customHeight="false" outlineLevel="0" collapsed="false">
      <c r="A20" s="34"/>
      <c r="B20" s="9"/>
      <c r="C20" s="9"/>
      <c r="D20" s="9"/>
      <c r="E20" s="9"/>
      <c r="F20" s="9"/>
      <c r="G20" s="9"/>
      <c r="H20" s="35"/>
      <c r="I20" s="9"/>
    </row>
    <row r="21" customFormat="false" ht="15" hidden="false" customHeight="false" outlineLevel="0" collapsed="false">
      <c r="A21" s="34"/>
      <c r="B21" s="9"/>
      <c r="C21" s="9"/>
      <c r="D21" s="9"/>
      <c r="E21" s="9"/>
      <c r="F21" s="9"/>
      <c r="G21" s="9"/>
      <c r="H21" s="35"/>
      <c r="I21" s="9"/>
    </row>
    <row r="22" customFormat="false" ht="15" hidden="false" customHeight="false" outlineLevel="0" collapsed="false">
      <c r="A22" s="34"/>
      <c r="B22" s="9"/>
      <c r="C22" s="9"/>
      <c r="D22" s="9"/>
      <c r="E22" s="9"/>
      <c r="F22" s="9"/>
      <c r="G22" s="9"/>
      <c r="H22" s="35"/>
      <c r="I22" s="9"/>
    </row>
    <row r="23" customFormat="false" ht="15" hidden="false" customHeight="false" outlineLevel="0" collapsed="false">
      <c r="A23" s="34"/>
      <c r="B23" s="9"/>
      <c r="C23" s="9"/>
      <c r="D23" s="9"/>
      <c r="E23" s="9"/>
      <c r="F23" s="9"/>
      <c r="G23" s="9"/>
      <c r="H23" s="35"/>
      <c r="I23" s="9"/>
    </row>
    <row r="24" customFormat="false" ht="15" hidden="false" customHeight="false" outlineLevel="0" collapsed="false">
      <c r="A24" s="34"/>
      <c r="B24" s="9"/>
      <c r="C24" s="9"/>
      <c r="D24" s="9"/>
      <c r="E24" s="9"/>
      <c r="F24" s="9"/>
      <c r="G24" s="9"/>
      <c r="H24" s="35"/>
      <c r="I24" s="9"/>
    </row>
    <row r="25" customFormat="false" ht="15" hidden="false" customHeight="false" outlineLevel="0" collapsed="false">
      <c r="A25" s="34"/>
      <c r="B25" s="9"/>
      <c r="C25" s="9"/>
      <c r="D25" s="9"/>
      <c r="E25" s="9"/>
      <c r="F25" s="9"/>
      <c r="G25" s="9"/>
      <c r="H25" s="35"/>
      <c r="I25" s="9"/>
    </row>
    <row r="26" customFormat="false" ht="15" hidden="false" customHeight="false" outlineLevel="0" collapsed="false">
      <c r="A26" s="34"/>
      <c r="B26" s="9"/>
      <c r="C26" s="9"/>
      <c r="D26" s="9"/>
      <c r="E26" s="9"/>
      <c r="F26" s="9"/>
      <c r="G26" s="9"/>
      <c r="H26" s="35"/>
      <c r="I26" s="9"/>
    </row>
    <row r="27" customFormat="false" ht="15" hidden="false" customHeight="false" outlineLevel="0" collapsed="false">
      <c r="A27" s="34"/>
      <c r="B27" s="9"/>
      <c r="C27" s="9"/>
      <c r="D27" s="9"/>
      <c r="E27" s="9"/>
      <c r="F27" s="9"/>
      <c r="G27" s="9"/>
      <c r="H27" s="35"/>
      <c r="I27" s="9"/>
    </row>
    <row r="28" customFormat="false" ht="15" hidden="false" customHeight="false" outlineLevel="0" collapsed="false">
      <c r="A28" s="34"/>
      <c r="B28" s="9"/>
      <c r="C28" s="9"/>
      <c r="D28" s="9"/>
      <c r="E28" s="9"/>
      <c r="F28" s="9"/>
      <c r="G28" s="9"/>
      <c r="H28" s="35"/>
      <c r="I28" s="9"/>
    </row>
    <row r="29" customFormat="false" ht="15" hidden="false" customHeight="false" outlineLevel="0" collapsed="false">
      <c r="A29" s="34"/>
      <c r="B29" s="9"/>
      <c r="C29" s="9"/>
      <c r="D29" s="9"/>
      <c r="E29" s="9"/>
      <c r="F29" s="9"/>
      <c r="G29" s="9"/>
      <c r="H29" s="35"/>
      <c r="I29" s="9"/>
    </row>
    <row r="30" customFormat="false" ht="15" hidden="false" customHeight="false" outlineLevel="0" collapsed="false">
      <c r="A30" s="34"/>
      <c r="B30" s="9"/>
      <c r="C30" s="9"/>
      <c r="D30" s="9"/>
      <c r="E30" s="9"/>
      <c r="F30" s="9"/>
      <c r="G30" s="9"/>
      <c r="H30" s="35"/>
      <c r="I30" s="9"/>
    </row>
    <row r="31" customFormat="false" ht="15" hidden="false" customHeight="false" outlineLevel="0" collapsed="false">
      <c r="A31" s="34"/>
      <c r="B31" s="9"/>
      <c r="C31" s="9"/>
      <c r="D31" s="9"/>
      <c r="E31" s="9"/>
      <c r="F31" s="9"/>
      <c r="G31" s="9"/>
      <c r="H31" s="35"/>
      <c r="I31" s="9"/>
    </row>
    <row r="32" customFormat="false" ht="15" hidden="false" customHeight="false" outlineLevel="0" collapsed="false">
      <c r="A32" s="34"/>
      <c r="B32" s="9"/>
      <c r="C32" s="9"/>
      <c r="D32" s="9"/>
      <c r="E32" s="9"/>
      <c r="F32" s="9"/>
      <c r="G32" s="9"/>
      <c r="H32" s="35"/>
      <c r="I32" s="9"/>
    </row>
    <row r="33" customFormat="false" ht="15" hidden="false" customHeight="false" outlineLevel="0" collapsed="false">
      <c r="A33" s="34"/>
      <c r="B33" s="9"/>
      <c r="C33" s="9"/>
      <c r="D33" s="9"/>
      <c r="E33" s="9"/>
      <c r="F33" s="9"/>
      <c r="G33" s="9"/>
      <c r="H33" s="35"/>
      <c r="I33" s="9"/>
    </row>
    <row r="34" customFormat="false" ht="15" hidden="false" customHeight="false" outlineLevel="0" collapsed="false">
      <c r="A34" s="34"/>
      <c r="B34" s="9"/>
      <c r="C34" s="9"/>
      <c r="D34" s="9"/>
      <c r="E34" s="9"/>
      <c r="F34" s="9"/>
      <c r="G34" s="9"/>
      <c r="H34" s="35"/>
      <c r="I34" s="9"/>
    </row>
    <row r="35" customFormat="false" ht="15" hidden="false" customHeight="false" outlineLevel="0" collapsed="false">
      <c r="A35" s="34"/>
      <c r="B35" s="9"/>
      <c r="C35" s="9"/>
      <c r="D35" s="9"/>
      <c r="E35" s="9"/>
      <c r="F35" s="9"/>
      <c r="G35" s="9"/>
      <c r="H35" s="35"/>
      <c r="I35" s="9"/>
    </row>
    <row r="36" customFormat="false" ht="15" hidden="false" customHeight="false" outlineLevel="0" collapsed="false">
      <c r="A36" s="34"/>
      <c r="B36" s="9"/>
      <c r="C36" s="9"/>
      <c r="D36" s="9"/>
      <c r="E36" s="9"/>
      <c r="F36" s="9"/>
      <c r="G36" s="9"/>
      <c r="H36" s="35"/>
      <c r="I36" s="9"/>
    </row>
    <row r="37" customFormat="false" ht="15" hidden="false" customHeight="false" outlineLevel="0" collapsed="false">
      <c r="A37" s="34"/>
      <c r="B37" s="9"/>
      <c r="C37" s="9"/>
      <c r="D37" s="9"/>
      <c r="E37" s="9"/>
      <c r="F37" s="9"/>
      <c r="G37" s="9"/>
      <c r="H37" s="35"/>
      <c r="I37" s="9"/>
    </row>
    <row r="38" customFormat="false" ht="15" hidden="false" customHeight="false" outlineLevel="0" collapsed="false">
      <c r="A38" s="34"/>
      <c r="B38" s="9"/>
      <c r="C38" s="9"/>
      <c r="D38" s="9"/>
      <c r="E38" s="9"/>
      <c r="F38" s="9"/>
      <c r="G38" s="9"/>
      <c r="H38" s="35"/>
      <c r="I38" s="9"/>
    </row>
    <row r="39" customFormat="false" ht="15" hidden="false" customHeight="false" outlineLevel="0" collapsed="false">
      <c r="A39" s="34"/>
      <c r="B39" s="9"/>
      <c r="C39" s="9"/>
      <c r="D39" s="9"/>
      <c r="E39" s="9"/>
      <c r="F39" s="9"/>
      <c r="G39" s="9"/>
      <c r="H39" s="35"/>
      <c r="I39" s="9"/>
    </row>
    <row r="40" customFormat="false" ht="15" hidden="false" customHeight="false" outlineLevel="0" collapsed="false">
      <c r="A40" s="34"/>
      <c r="B40" s="9"/>
      <c r="C40" s="9"/>
      <c r="D40" s="9"/>
      <c r="E40" s="9"/>
      <c r="F40" s="9"/>
      <c r="G40" s="9"/>
      <c r="H40" s="35"/>
      <c r="I40" s="9"/>
    </row>
    <row r="41" customFormat="false" ht="15" hidden="false" customHeight="false" outlineLevel="0" collapsed="false">
      <c r="A41" s="34"/>
      <c r="B41" s="9"/>
      <c r="C41" s="9"/>
      <c r="D41" s="9"/>
      <c r="E41" s="9"/>
      <c r="F41" s="9"/>
      <c r="G41" s="9"/>
      <c r="H41" s="35"/>
      <c r="I41" s="9"/>
    </row>
    <row r="42" customFormat="false" ht="15" hidden="false" customHeight="false" outlineLevel="0" collapsed="false">
      <c r="A42" s="34"/>
      <c r="B42" s="9"/>
      <c r="C42" s="9"/>
      <c r="D42" s="9"/>
      <c r="E42" s="9"/>
      <c r="F42" s="9"/>
      <c r="G42" s="9"/>
      <c r="H42" s="35"/>
      <c r="I42" s="9"/>
    </row>
    <row r="43" customFormat="false" ht="15" hidden="false" customHeight="false" outlineLevel="0" collapsed="false">
      <c r="A43" s="34"/>
      <c r="B43" s="9"/>
      <c r="C43" s="9"/>
      <c r="D43" s="9"/>
      <c r="E43" s="9"/>
      <c r="F43" s="9"/>
      <c r="G43" s="9"/>
      <c r="H43" s="35"/>
      <c r="I43" s="9"/>
    </row>
    <row r="44" customFormat="false" ht="15" hidden="false" customHeight="false" outlineLevel="0" collapsed="false">
      <c r="A44" s="34"/>
      <c r="B44" s="9"/>
      <c r="C44" s="9"/>
      <c r="D44" s="9"/>
      <c r="E44" s="9"/>
      <c r="F44" s="9"/>
      <c r="G44" s="9"/>
      <c r="H44" s="35"/>
      <c r="I44" s="9"/>
    </row>
    <row r="45" customFormat="false" ht="15" hidden="false" customHeight="false" outlineLevel="0" collapsed="false">
      <c r="A45" s="34"/>
      <c r="B45" s="9"/>
      <c r="C45" s="9"/>
      <c r="D45" s="9"/>
      <c r="E45" s="9"/>
      <c r="F45" s="9"/>
      <c r="G45" s="9"/>
      <c r="H45" s="35"/>
      <c r="I45" s="9"/>
    </row>
    <row r="46" customFormat="false" ht="15" hidden="false" customHeight="false" outlineLevel="0" collapsed="false">
      <c r="A46" s="34"/>
      <c r="B46" s="9"/>
      <c r="C46" s="9"/>
      <c r="D46" s="9"/>
      <c r="E46" s="9"/>
      <c r="F46" s="9"/>
      <c r="G46" s="9"/>
      <c r="H46" s="35"/>
      <c r="I46" s="9"/>
    </row>
    <row r="47" customFormat="false" ht="15" hidden="false" customHeight="false" outlineLevel="0" collapsed="false">
      <c r="A47" s="34"/>
      <c r="B47" s="9"/>
      <c r="C47" s="9"/>
      <c r="D47" s="9"/>
      <c r="E47" s="9"/>
      <c r="F47" s="9"/>
      <c r="G47" s="9"/>
      <c r="H47" s="35"/>
      <c r="I47" s="9"/>
    </row>
    <row r="48" customFormat="false" ht="15" hidden="false" customHeight="false" outlineLevel="0" collapsed="false">
      <c r="A48" s="34"/>
      <c r="B48" s="9"/>
      <c r="C48" s="9"/>
      <c r="D48" s="9"/>
      <c r="E48" s="9"/>
      <c r="F48" s="9"/>
      <c r="G48" s="9"/>
      <c r="H48" s="35"/>
      <c r="I48" s="9"/>
    </row>
    <row r="49" customFormat="false" ht="15" hidden="false" customHeight="false" outlineLevel="0" collapsed="false">
      <c r="A49" s="34"/>
      <c r="B49" s="9"/>
      <c r="C49" s="9"/>
      <c r="D49" s="9"/>
      <c r="E49" s="9"/>
      <c r="F49" s="9"/>
      <c r="G49" s="9"/>
      <c r="H49" s="35"/>
      <c r="I49" s="9"/>
    </row>
    <row r="50" customFormat="false" ht="15" hidden="false" customHeight="false" outlineLevel="0" collapsed="false">
      <c r="A50" s="34"/>
      <c r="B50" s="9"/>
      <c r="C50" s="9"/>
      <c r="D50" s="9"/>
      <c r="E50" s="9"/>
      <c r="F50" s="9"/>
      <c r="G50" s="9"/>
      <c r="H50" s="35"/>
      <c r="I50" s="9"/>
    </row>
    <row r="51" customFormat="false" ht="15" hidden="false" customHeight="false" outlineLevel="0" collapsed="false">
      <c r="A51" s="34"/>
      <c r="B51" s="9"/>
      <c r="C51" s="9"/>
      <c r="D51" s="9"/>
      <c r="E51" s="9"/>
      <c r="F51" s="9"/>
      <c r="G51" s="9"/>
      <c r="H51" s="35"/>
      <c r="I51" s="9"/>
    </row>
    <row r="52" customFormat="false" ht="15" hidden="false" customHeight="false" outlineLevel="0" collapsed="false">
      <c r="A52" s="34"/>
      <c r="B52" s="9"/>
      <c r="C52" s="9"/>
      <c r="D52" s="9"/>
      <c r="E52" s="9"/>
      <c r="F52" s="9"/>
      <c r="G52" s="9"/>
      <c r="H52" s="35"/>
      <c r="I52" s="9"/>
    </row>
    <row r="53" customFormat="false" ht="15" hidden="false" customHeight="false" outlineLevel="0" collapsed="false">
      <c r="A53" s="34"/>
      <c r="B53" s="9"/>
      <c r="C53" s="9"/>
      <c r="D53" s="9"/>
      <c r="E53" s="9"/>
      <c r="F53" s="9"/>
      <c r="G53" s="9"/>
      <c r="H53" s="35"/>
      <c r="I53" s="9"/>
    </row>
    <row r="54" customFormat="false" ht="15" hidden="false" customHeight="false" outlineLevel="0" collapsed="false">
      <c r="A54" s="34"/>
      <c r="B54" s="9"/>
      <c r="C54" s="9"/>
      <c r="D54" s="9"/>
      <c r="E54" s="9"/>
      <c r="F54" s="9"/>
      <c r="G54" s="9"/>
      <c r="H54" s="35"/>
      <c r="I54" s="9"/>
    </row>
    <row r="55" customFormat="false" ht="15" hidden="false" customHeight="false" outlineLevel="0" collapsed="false">
      <c r="A55" s="34"/>
      <c r="B55" s="9"/>
      <c r="C55" s="9"/>
      <c r="D55" s="9"/>
      <c r="E55" s="9"/>
      <c r="F55" s="9"/>
      <c r="G55" s="9"/>
      <c r="H55" s="35"/>
      <c r="I55" s="9"/>
    </row>
    <row r="56" customFormat="false" ht="15" hidden="false" customHeight="false" outlineLevel="0" collapsed="false">
      <c r="A56" s="34"/>
      <c r="B56" s="9"/>
      <c r="C56" s="9"/>
      <c r="D56" s="9"/>
      <c r="E56" s="9"/>
      <c r="F56" s="9"/>
      <c r="G56" s="9"/>
      <c r="H56" s="35"/>
      <c r="I56" s="9"/>
    </row>
    <row r="57" customFormat="false" ht="15" hidden="false" customHeight="false" outlineLevel="0" collapsed="false">
      <c r="A57" s="34"/>
      <c r="B57" s="9"/>
      <c r="C57" s="9"/>
      <c r="D57" s="9"/>
      <c r="E57" s="9"/>
      <c r="F57" s="9"/>
      <c r="G57" s="9"/>
      <c r="H57" s="35"/>
      <c r="I57" s="9"/>
    </row>
    <row r="58" customFormat="false" ht="15" hidden="false" customHeight="false" outlineLevel="0" collapsed="false">
      <c r="A58" s="34"/>
      <c r="B58" s="9"/>
      <c r="C58" s="9"/>
      <c r="D58" s="9"/>
      <c r="E58" s="9"/>
      <c r="F58" s="9"/>
      <c r="G58" s="9"/>
      <c r="H58" s="35"/>
      <c r="I58" s="9"/>
    </row>
    <row r="59" customFormat="false" ht="15" hidden="false" customHeight="false" outlineLevel="0" collapsed="false">
      <c r="A59" s="34"/>
      <c r="B59" s="9"/>
      <c r="C59" s="9"/>
      <c r="D59" s="9"/>
      <c r="E59" s="9"/>
      <c r="F59" s="9"/>
      <c r="G59" s="9"/>
      <c r="H59" s="35"/>
      <c r="I59" s="9"/>
    </row>
    <row r="60" customFormat="false" ht="15" hidden="false" customHeight="false" outlineLevel="0" collapsed="false">
      <c r="A60" s="34"/>
      <c r="B60" s="9"/>
      <c r="C60" s="9"/>
      <c r="D60" s="9"/>
      <c r="E60" s="9"/>
      <c r="F60" s="9"/>
      <c r="G60" s="9"/>
      <c r="H60" s="35"/>
      <c r="I60" s="9"/>
    </row>
    <row r="61" customFormat="false" ht="15" hidden="false" customHeight="false" outlineLevel="0" collapsed="false">
      <c r="A61" s="34"/>
      <c r="B61" s="9"/>
      <c r="C61" s="9"/>
      <c r="D61" s="9"/>
      <c r="E61" s="9"/>
      <c r="F61" s="9"/>
      <c r="G61" s="9"/>
      <c r="H61" s="35"/>
      <c r="I61" s="9"/>
    </row>
    <row r="62" customFormat="false" ht="15" hidden="false" customHeight="false" outlineLevel="0" collapsed="false">
      <c r="A62" s="34"/>
      <c r="B62" s="9"/>
      <c r="C62" s="9"/>
      <c r="D62" s="9"/>
      <c r="E62" s="9"/>
      <c r="F62" s="9"/>
      <c r="G62" s="9"/>
      <c r="H62" s="35"/>
      <c r="I62" s="9"/>
    </row>
    <row r="63" customFormat="false" ht="15" hidden="false" customHeight="false" outlineLevel="0" collapsed="false">
      <c r="A63" s="34"/>
      <c r="B63" s="9"/>
      <c r="C63" s="9"/>
      <c r="D63" s="9"/>
      <c r="E63" s="9"/>
      <c r="F63" s="9"/>
      <c r="G63" s="9"/>
      <c r="H63" s="35"/>
      <c r="I63" s="9"/>
    </row>
    <row r="64" customFormat="false" ht="15" hidden="false" customHeight="false" outlineLevel="0" collapsed="false">
      <c r="A64" s="34"/>
      <c r="B64" s="9"/>
      <c r="C64" s="9"/>
      <c r="D64" s="9"/>
      <c r="E64" s="9"/>
      <c r="F64" s="9"/>
      <c r="G64" s="9"/>
      <c r="H64" s="35"/>
      <c r="I64" s="9"/>
    </row>
    <row r="65" customFormat="false" ht="15" hidden="false" customHeight="false" outlineLevel="0" collapsed="false">
      <c r="A65" s="34"/>
      <c r="B65" s="9"/>
      <c r="C65" s="9"/>
      <c r="D65" s="9"/>
      <c r="E65" s="9"/>
      <c r="F65" s="9"/>
      <c r="G65" s="9"/>
      <c r="H65" s="35"/>
      <c r="I65" s="9"/>
    </row>
    <row r="66" customFormat="false" ht="15" hidden="false" customHeight="false" outlineLevel="0" collapsed="false">
      <c r="A66" s="34"/>
      <c r="B66" s="9"/>
      <c r="C66" s="9"/>
      <c r="D66" s="9"/>
      <c r="E66" s="9"/>
      <c r="F66" s="9"/>
      <c r="G66" s="9"/>
      <c r="H66" s="35"/>
      <c r="I66" s="9"/>
    </row>
    <row r="67" customFormat="false" ht="15" hidden="false" customHeight="false" outlineLevel="0" collapsed="false">
      <c r="A67" s="34"/>
      <c r="B67" s="9"/>
      <c r="C67" s="9"/>
      <c r="D67" s="9"/>
      <c r="E67" s="9"/>
      <c r="F67" s="9"/>
      <c r="G67" s="9"/>
      <c r="H67" s="35"/>
      <c r="I67" s="9"/>
    </row>
    <row r="68" customFormat="false" ht="15" hidden="false" customHeight="false" outlineLevel="0" collapsed="false">
      <c r="A68" s="34"/>
      <c r="B68" s="9"/>
      <c r="C68" s="9"/>
      <c r="D68" s="9"/>
      <c r="E68" s="9"/>
      <c r="F68" s="9"/>
      <c r="G68" s="9"/>
      <c r="H68" s="35"/>
      <c r="I68" s="9"/>
    </row>
    <row r="69" customFormat="false" ht="15" hidden="false" customHeight="false" outlineLevel="0" collapsed="false">
      <c r="A69" s="34"/>
      <c r="B69" s="9"/>
      <c r="C69" s="9"/>
      <c r="D69" s="9"/>
      <c r="E69" s="9"/>
      <c r="F69" s="9"/>
      <c r="G69" s="9"/>
      <c r="H69" s="35"/>
      <c r="I69" s="9"/>
    </row>
    <row r="70" customFormat="false" ht="15" hidden="false" customHeight="false" outlineLevel="0" collapsed="false">
      <c r="A70" s="34"/>
      <c r="B70" s="9"/>
      <c r="C70" s="9"/>
      <c r="D70" s="9"/>
      <c r="E70" s="9"/>
      <c r="F70" s="9"/>
      <c r="G70" s="9"/>
      <c r="H70" s="35"/>
      <c r="I70" s="9"/>
    </row>
    <row r="71" customFormat="false" ht="15" hidden="false" customHeight="false" outlineLevel="0" collapsed="false">
      <c r="A71" s="34"/>
      <c r="B71" s="9"/>
      <c r="C71" s="9"/>
      <c r="D71" s="9"/>
      <c r="E71" s="9"/>
      <c r="F71" s="9"/>
      <c r="G71" s="9"/>
      <c r="H71" s="35"/>
      <c r="I71" s="9"/>
    </row>
    <row r="72" customFormat="false" ht="15" hidden="false" customHeight="false" outlineLevel="0" collapsed="false">
      <c r="A72" s="34"/>
      <c r="B72" s="9"/>
      <c r="C72" s="9"/>
      <c r="D72" s="9"/>
      <c r="E72" s="9"/>
      <c r="F72" s="9"/>
      <c r="G72" s="9"/>
      <c r="H72" s="35"/>
      <c r="I72" s="9"/>
    </row>
    <row r="73" customFormat="false" ht="15" hidden="false" customHeight="false" outlineLevel="0" collapsed="false">
      <c r="A73" s="34"/>
      <c r="B73" s="9"/>
      <c r="C73" s="9"/>
      <c r="D73" s="9"/>
      <c r="E73" s="9"/>
      <c r="F73" s="9"/>
      <c r="G73" s="9"/>
      <c r="H73" s="35"/>
      <c r="I73" s="9"/>
    </row>
    <row r="74" customFormat="false" ht="15" hidden="false" customHeight="false" outlineLevel="0" collapsed="false">
      <c r="A74" s="34"/>
      <c r="B74" s="9"/>
      <c r="C74" s="9"/>
      <c r="D74" s="9"/>
      <c r="E74" s="9"/>
      <c r="F74" s="9"/>
      <c r="G74" s="9"/>
      <c r="H74" s="35"/>
      <c r="I74" s="9"/>
    </row>
    <row r="75" customFormat="false" ht="15" hidden="false" customHeight="false" outlineLevel="0" collapsed="false">
      <c r="A75" s="34"/>
      <c r="B75" s="9"/>
      <c r="C75" s="9"/>
      <c r="D75" s="9"/>
      <c r="E75" s="9"/>
      <c r="F75" s="9"/>
      <c r="G75" s="9"/>
      <c r="H75" s="35"/>
      <c r="I75" s="9"/>
    </row>
    <row r="76" customFormat="false" ht="15" hidden="false" customHeight="false" outlineLevel="0" collapsed="false">
      <c r="A76" s="34"/>
      <c r="B76" s="9"/>
      <c r="C76" s="9"/>
      <c r="D76" s="9"/>
      <c r="E76" s="9"/>
      <c r="F76" s="9"/>
      <c r="G76" s="9"/>
      <c r="H76" s="35"/>
      <c r="I76" s="9"/>
    </row>
    <row r="77" customFormat="false" ht="15" hidden="false" customHeight="false" outlineLevel="0" collapsed="false">
      <c r="A77" s="34"/>
      <c r="B77" s="9"/>
      <c r="C77" s="9"/>
      <c r="D77" s="9"/>
      <c r="E77" s="9"/>
      <c r="F77" s="9"/>
      <c r="G77" s="9"/>
      <c r="H77" s="35"/>
      <c r="I77" s="9"/>
    </row>
    <row r="78" customFormat="false" ht="15" hidden="false" customHeight="false" outlineLevel="0" collapsed="false">
      <c r="A78" s="34"/>
      <c r="B78" s="9"/>
      <c r="C78" s="9"/>
      <c r="D78" s="9"/>
      <c r="E78" s="9"/>
      <c r="F78" s="9"/>
      <c r="G78" s="9"/>
      <c r="H78" s="35"/>
      <c r="I78" s="9"/>
    </row>
    <row r="79" customFormat="false" ht="15" hidden="false" customHeight="false" outlineLevel="0" collapsed="false">
      <c r="A79" s="34"/>
      <c r="B79" s="9"/>
      <c r="C79" s="9"/>
      <c r="D79" s="9"/>
      <c r="E79" s="9"/>
      <c r="F79" s="9"/>
      <c r="G79" s="9"/>
      <c r="H79" s="35"/>
      <c r="I79" s="9"/>
    </row>
    <row r="80" customFormat="false" ht="15" hidden="false" customHeight="false" outlineLevel="0" collapsed="false">
      <c r="A80" s="34"/>
      <c r="B80" s="9"/>
      <c r="C80" s="9"/>
      <c r="D80" s="9"/>
      <c r="E80" s="9"/>
      <c r="F80" s="9"/>
      <c r="G80" s="9"/>
      <c r="H80" s="35"/>
      <c r="I80" s="9"/>
    </row>
    <row r="81" customFormat="false" ht="15" hidden="false" customHeight="false" outlineLevel="0" collapsed="false">
      <c r="A81" s="34"/>
      <c r="B81" s="9"/>
      <c r="C81" s="9"/>
      <c r="D81" s="9"/>
      <c r="E81" s="9"/>
      <c r="F81" s="9"/>
      <c r="G81" s="9"/>
      <c r="H81" s="35"/>
      <c r="I81" s="9"/>
    </row>
    <row r="82" customFormat="false" ht="15" hidden="false" customHeight="false" outlineLevel="0" collapsed="false">
      <c r="A82" s="34"/>
      <c r="B82" s="9"/>
      <c r="C82" s="9"/>
      <c r="D82" s="9"/>
      <c r="E82" s="9"/>
      <c r="F82" s="9"/>
      <c r="G82" s="9"/>
      <c r="H82" s="35"/>
      <c r="I82" s="9"/>
    </row>
    <row r="83" customFormat="false" ht="15" hidden="false" customHeight="false" outlineLevel="0" collapsed="false">
      <c r="A83" s="34"/>
      <c r="B83" s="9"/>
      <c r="C83" s="9"/>
      <c r="D83" s="9"/>
      <c r="E83" s="9"/>
      <c r="F83" s="9"/>
      <c r="G83" s="9"/>
      <c r="H83" s="35"/>
      <c r="I83" s="9"/>
    </row>
    <row r="84" customFormat="false" ht="15" hidden="false" customHeight="false" outlineLevel="0" collapsed="false">
      <c r="A84" s="34"/>
      <c r="B84" s="9"/>
      <c r="C84" s="9"/>
      <c r="D84" s="9"/>
      <c r="E84" s="9"/>
      <c r="F84" s="9"/>
      <c r="G84" s="9"/>
      <c r="H84" s="35"/>
      <c r="I84" s="9"/>
    </row>
    <row r="85" customFormat="false" ht="15" hidden="false" customHeight="false" outlineLevel="0" collapsed="false">
      <c r="A85" s="34"/>
      <c r="B85" s="9"/>
      <c r="C85" s="9"/>
      <c r="D85" s="9"/>
      <c r="E85" s="9"/>
      <c r="F85" s="9"/>
      <c r="G85" s="9"/>
      <c r="H85" s="35"/>
      <c r="I85" s="9"/>
    </row>
    <row r="86" customFormat="false" ht="15" hidden="false" customHeight="false" outlineLevel="0" collapsed="false">
      <c r="A86" s="34"/>
      <c r="B86" s="9"/>
      <c r="C86" s="9"/>
      <c r="D86" s="9"/>
      <c r="E86" s="9"/>
      <c r="F86" s="9"/>
      <c r="G86" s="9"/>
      <c r="H86" s="35"/>
      <c r="I86" s="9"/>
    </row>
    <row r="87" customFormat="false" ht="15" hidden="false" customHeight="false" outlineLevel="0" collapsed="false">
      <c r="A87" s="34"/>
      <c r="B87" s="9"/>
      <c r="C87" s="9"/>
      <c r="D87" s="9"/>
      <c r="E87" s="9"/>
      <c r="F87" s="9"/>
      <c r="G87" s="9"/>
      <c r="H87" s="35"/>
      <c r="I87" s="9"/>
    </row>
    <row r="88" customFormat="false" ht="15" hidden="false" customHeight="false" outlineLevel="0" collapsed="false">
      <c r="A88" s="34"/>
      <c r="B88" s="9"/>
      <c r="C88" s="9"/>
      <c r="D88" s="9"/>
      <c r="E88" s="9"/>
      <c r="F88" s="9"/>
      <c r="G88" s="9"/>
      <c r="H88" s="35"/>
      <c r="I88" s="9"/>
    </row>
    <row r="89" customFormat="false" ht="15" hidden="false" customHeight="false" outlineLevel="0" collapsed="false">
      <c r="A89" s="34"/>
      <c r="B89" s="9"/>
      <c r="C89" s="9"/>
      <c r="D89" s="9"/>
      <c r="E89" s="9"/>
      <c r="F89" s="9"/>
      <c r="G89" s="9"/>
      <c r="H89" s="35"/>
      <c r="I89" s="9"/>
    </row>
    <row r="90" customFormat="false" ht="15" hidden="false" customHeight="false" outlineLevel="0" collapsed="false">
      <c r="A90" s="34"/>
      <c r="B90" s="9"/>
      <c r="C90" s="9"/>
      <c r="D90" s="9"/>
      <c r="E90" s="9"/>
      <c r="F90" s="9"/>
      <c r="G90" s="9"/>
      <c r="H90" s="35"/>
      <c r="I90" s="9"/>
    </row>
    <row r="91" customFormat="false" ht="15" hidden="false" customHeight="false" outlineLevel="0" collapsed="false">
      <c r="A91" s="34"/>
      <c r="B91" s="9"/>
      <c r="C91" s="9"/>
      <c r="D91" s="9"/>
      <c r="E91" s="9"/>
      <c r="F91" s="9"/>
      <c r="G91" s="9"/>
      <c r="H91" s="35"/>
      <c r="I91" s="9"/>
    </row>
    <row r="92" customFormat="false" ht="15" hidden="false" customHeight="false" outlineLevel="0" collapsed="false">
      <c r="A92" s="34"/>
      <c r="B92" s="9"/>
      <c r="C92" s="9"/>
      <c r="D92" s="9"/>
      <c r="E92" s="9"/>
      <c r="F92" s="9"/>
      <c r="G92" s="9"/>
      <c r="H92" s="35"/>
      <c r="I92" s="9"/>
    </row>
    <row r="93" customFormat="false" ht="15" hidden="false" customHeight="false" outlineLevel="0" collapsed="false">
      <c r="A93" s="34"/>
      <c r="B93" s="9"/>
      <c r="C93" s="9"/>
      <c r="D93" s="9"/>
      <c r="E93" s="9"/>
      <c r="F93" s="9"/>
      <c r="G93" s="9"/>
      <c r="H93" s="35"/>
      <c r="I93" s="9"/>
    </row>
    <row r="94" customFormat="false" ht="15" hidden="false" customHeight="false" outlineLevel="0" collapsed="false">
      <c r="A94" s="34"/>
      <c r="B94" s="9"/>
      <c r="C94" s="9"/>
      <c r="D94" s="9"/>
      <c r="E94" s="9"/>
      <c r="F94" s="9"/>
      <c r="G94" s="9"/>
      <c r="H94" s="35"/>
      <c r="I94" s="9"/>
    </row>
    <row r="95" customFormat="false" ht="15" hidden="false" customHeight="false" outlineLevel="0" collapsed="false">
      <c r="A95" s="34"/>
      <c r="B95" s="9"/>
      <c r="C95" s="9"/>
      <c r="D95" s="9"/>
      <c r="E95" s="9"/>
      <c r="F95" s="9"/>
      <c r="G95" s="9"/>
      <c r="H95" s="35"/>
      <c r="I95" s="9"/>
    </row>
    <row r="96" customFormat="false" ht="15" hidden="false" customHeight="false" outlineLevel="0" collapsed="false">
      <c r="A96" s="34"/>
      <c r="B96" s="9"/>
      <c r="C96" s="9"/>
      <c r="D96" s="9"/>
      <c r="E96" s="9"/>
      <c r="F96" s="9"/>
      <c r="G96" s="9"/>
      <c r="H96" s="35"/>
      <c r="I96" s="9"/>
    </row>
    <row r="97" customFormat="false" ht="15" hidden="false" customHeight="false" outlineLevel="0" collapsed="false">
      <c r="A97" s="34"/>
      <c r="B97" s="9"/>
      <c r="C97" s="9"/>
      <c r="D97" s="9"/>
      <c r="E97" s="9"/>
      <c r="F97" s="9"/>
      <c r="G97" s="9"/>
      <c r="H97" s="35"/>
      <c r="I97" s="9"/>
    </row>
    <row r="98" customFormat="false" ht="15" hidden="false" customHeight="false" outlineLevel="0" collapsed="false">
      <c r="A98" s="34"/>
      <c r="B98" s="9"/>
      <c r="C98" s="9"/>
      <c r="D98" s="9"/>
      <c r="E98" s="9"/>
      <c r="F98" s="9"/>
      <c r="G98" s="9"/>
      <c r="H98" s="35"/>
      <c r="I98" s="9"/>
    </row>
    <row r="99" customFormat="false" ht="15" hidden="false" customHeight="false" outlineLevel="0" collapsed="false">
      <c r="A99" s="34"/>
      <c r="B99" s="9"/>
      <c r="C99" s="9"/>
      <c r="D99" s="9"/>
      <c r="E99" s="9"/>
      <c r="F99" s="9"/>
      <c r="G99" s="9"/>
      <c r="H99" s="35"/>
      <c r="I99" s="9"/>
    </row>
    <row r="100" customFormat="false" ht="15" hidden="false" customHeight="false" outlineLevel="0" collapsed="false">
      <c r="A100" s="34"/>
      <c r="B100" s="9"/>
      <c r="C100" s="9"/>
      <c r="D100" s="9"/>
      <c r="E100" s="9"/>
      <c r="F100" s="9"/>
      <c r="G100" s="9"/>
      <c r="H100" s="35"/>
      <c r="I100" s="9"/>
    </row>
    <row r="101" customFormat="false" ht="15" hidden="false" customHeight="false" outlineLevel="0" collapsed="false">
      <c r="A101" s="34"/>
      <c r="B101" s="9"/>
      <c r="C101" s="9"/>
      <c r="D101" s="9"/>
      <c r="E101" s="9"/>
      <c r="F101" s="9"/>
      <c r="G101" s="9"/>
      <c r="H101" s="35"/>
      <c r="I101" s="9"/>
    </row>
    <row r="102" customFormat="false" ht="15" hidden="false" customHeight="false" outlineLevel="0" collapsed="false">
      <c r="A102" s="34"/>
      <c r="B102" s="9"/>
      <c r="C102" s="9"/>
      <c r="D102" s="9"/>
      <c r="E102" s="9"/>
      <c r="F102" s="9"/>
      <c r="G102" s="9"/>
      <c r="H102" s="35"/>
      <c r="I102" s="9"/>
    </row>
    <row r="103" customFormat="false" ht="15" hidden="false" customHeight="false" outlineLevel="0" collapsed="false">
      <c r="A103" s="34"/>
      <c r="B103" s="9"/>
      <c r="C103" s="9"/>
      <c r="D103" s="9"/>
      <c r="E103" s="9"/>
      <c r="F103" s="9"/>
      <c r="G103" s="9"/>
      <c r="H103" s="35"/>
      <c r="I103" s="9"/>
    </row>
    <row r="104" customFormat="false" ht="15" hidden="false" customHeight="false" outlineLevel="0" collapsed="false">
      <c r="A104" s="34"/>
      <c r="B104" s="9"/>
      <c r="C104" s="9"/>
      <c r="D104" s="9"/>
      <c r="E104" s="9"/>
      <c r="F104" s="9"/>
      <c r="G104" s="9"/>
      <c r="H104" s="35"/>
      <c r="I104" s="9"/>
    </row>
    <row r="105" customFormat="false" ht="15" hidden="false" customHeight="false" outlineLevel="0" collapsed="false">
      <c r="A105" s="34"/>
      <c r="B105" s="9"/>
      <c r="C105" s="9"/>
      <c r="D105" s="9"/>
      <c r="E105" s="9"/>
      <c r="F105" s="9"/>
      <c r="G105" s="9"/>
      <c r="H105" s="35"/>
      <c r="I105" s="9"/>
    </row>
    <row r="106" customFormat="false" ht="15" hidden="false" customHeight="false" outlineLevel="0" collapsed="false">
      <c r="A106" s="34"/>
      <c r="B106" s="9"/>
      <c r="C106" s="9"/>
      <c r="D106" s="9"/>
      <c r="E106" s="9"/>
      <c r="F106" s="9"/>
      <c r="G106" s="9"/>
      <c r="H106" s="35"/>
      <c r="I106" s="9"/>
    </row>
    <row r="107" customFormat="false" ht="15" hidden="false" customHeight="false" outlineLevel="0" collapsed="false">
      <c r="A107" s="34"/>
      <c r="B107" s="9"/>
      <c r="C107" s="9"/>
      <c r="D107" s="9"/>
      <c r="E107" s="9"/>
      <c r="F107" s="9"/>
      <c r="G107" s="9"/>
      <c r="H107" s="35"/>
      <c r="I107" s="9"/>
    </row>
    <row r="108" customFormat="false" ht="15" hidden="false" customHeight="false" outlineLevel="0" collapsed="false">
      <c r="A108" s="34"/>
      <c r="B108" s="9"/>
      <c r="C108" s="9"/>
      <c r="D108" s="9"/>
      <c r="E108" s="9"/>
      <c r="F108" s="9"/>
      <c r="G108" s="9"/>
      <c r="H108" s="35"/>
      <c r="I108" s="9"/>
    </row>
    <row r="109" customFormat="false" ht="15" hidden="false" customHeight="false" outlineLevel="0" collapsed="false">
      <c r="A109" s="34"/>
      <c r="B109" s="9"/>
      <c r="C109" s="9"/>
      <c r="D109" s="9"/>
      <c r="E109" s="9"/>
      <c r="F109" s="9"/>
      <c r="G109" s="9"/>
      <c r="H109" s="35"/>
      <c r="I109" s="9"/>
    </row>
    <row r="110" customFormat="false" ht="15" hidden="false" customHeight="false" outlineLevel="0" collapsed="false">
      <c r="A110" s="34"/>
      <c r="B110" s="9"/>
      <c r="C110" s="9"/>
      <c r="D110" s="9"/>
      <c r="E110" s="9"/>
      <c r="F110" s="9"/>
      <c r="G110" s="9"/>
      <c r="H110" s="35"/>
      <c r="I110" s="9"/>
    </row>
    <row r="111" customFormat="false" ht="15" hidden="false" customHeight="false" outlineLevel="0" collapsed="false">
      <c r="A111" s="34"/>
      <c r="B111" s="9"/>
      <c r="C111" s="9"/>
      <c r="D111" s="9"/>
      <c r="E111" s="9"/>
      <c r="F111" s="9"/>
      <c r="G111" s="9"/>
      <c r="H111" s="35"/>
      <c r="I111" s="9"/>
    </row>
    <row r="112" customFormat="false" ht="15" hidden="false" customHeight="false" outlineLevel="0" collapsed="false">
      <c r="A112" s="34"/>
      <c r="B112" s="9"/>
      <c r="C112" s="9"/>
      <c r="D112" s="9"/>
      <c r="E112" s="9"/>
      <c r="F112" s="9"/>
      <c r="G112" s="9"/>
      <c r="H112" s="35"/>
      <c r="I112" s="9"/>
    </row>
    <row r="113" customFormat="false" ht="15" hidden="false" customHeight="false" outlineLevel="0" collapsed="false">
      <c r="A113" s="34"/>
      <c r="B113" s="9"/>
      <c r="C113" s="9"/>
      <c r="D113" s="9"/>
      <c r="E113" s="9"/>
      <c r="F113" s="9"/>
      <c r="G113" s="9"/>
      <c r="H113" s="35"/>
      <c r="I113" s="9"/>
    </row>
    <row r="114" customFormat="false" ht="15" hidden="false" customHeight="false" outlineLevel="0" collapsed="false">
      <c r="A114" s="34"/>
      <c r="B114" s="9"/>
      <c r="C114" s="9"/>
      <c r="D114" s="9"/>
      <c r="E114" s="9"/>
      <c r="F114" s="9"/>
      <c r="G114" s="9"/>
      <c r="H114" s="35"/>
      <c r="I114" s="9"/>
    </row>
    <row r="115" customFormat="false" ht="15" hidden="false" customHeight="false" outlineLevel="0" collapsed="false">
      <c r="A115" s="34"/>
      <c r="B115" s="9"/>
      <c r="C115" s="9"/>
      <c r="D115" s="9"/>
      <c r="E115" s="9"/>
      <c r="F115" s="9"/>
      <c r="G115" s="9"/>
      <c r="H115" s="35"/>
      <c r="I115" s="9"/>
    </row>
    <row r="116" customFormat="false" ht="15" hidden="false" customHeight="false" outlineLevel="0" collapsed="false">
      <c r="A116" s="34"/>
      <c r="B116" s="9"/>
      <c r="C116" s="9"/>
      <c r="D116" s="9"/>
      <c r="E116" s="9"/>
      <c r="F116" s="9"/>
      <c r="G116" s="9"/>
      <c r="H116" s="35"/>
      <c r="I116" s="9"/>
    </row>
    <row r="117" customFormat="false" ht="15" hidden="false" customHeight="false" outlineLevel="0" collapsed="false">
      <c r="A117" s="34"/>
      <c r="B117" s="9"/>
      <c r="C117" s="9"/>
      <c r="D117" s="9"/>
      <c r="E117" s="9"/>
      <c r="F117" s="9"/>
      <c r="G117" s="9"/>
      <c r="H117" s="35"/>
      <c r="I117" s="9"/>
    </row>
    <row r="118" customFormat="false" ht="15" hidden="false" customHeight="false" outlineLevel="0" collapsed="false">
      <c r="A118" s="34"/>
      <c r="B118" s="9"/>
      <c r="C118" s="9"/>
      <c r="D118" s="9"/>
      <c r="E118" s="9"/>
      <c r="F118" s="9"/>
      <c r="G118" s="9"/>
      <c r="H118" s="35"/>
      <c r="I118" s="9"/>
    </row>
    <row r="119" customFormat="false" ht="15" hidden="false" customHeight="false" outlineLevel="0" collapsed="false">
      <c r="A119" s="34"/>
      <c r="B119" s="9"/>
      <c r="C119" s="9"/>
      <c r="D119" s="9"/>
      <c r="E119" s="9"/>
      <c r="F119" s="9"/>
      <c r="G119" s="9"/>
      <c r="H119" s="35"/>
      <c r="I119" s="9"/>
    </row>
    <row r="120" customFormat="false" ht="15" hidden="false" customHeight="false" outlineLevel="0" collapsed="false">
      <c r="A120" s="34"/>
      <c r="B120" s="9"/>
      <c r="C120" s="9"/>
      <c r="D120" s="9"/>
      <c r="E120" s="9"/>
      <c r="F120" s="9"/>
      <c r="G120" s="9"/>
      <c r="H120" s="35"/>
      <c r="I120" s="9"/>
    </row>
    <row r="121" customFormat="false" ht="15" hidden="false" customHeight="false" outlineLevel="0" collapsed="false">
      <c r="A121" s="34"/>
      <c r="B121" s="9"/>
      <c r="C121" s="9"/>
      <c r="D121" s="9"/>
      <c r="E121" s="9"/>
      <c r="F121" s="9"/>
      <c r="G121" s="9"/>
      <c r="H121" s="35"/>
      <c r="I121" s="9"/>
    </row>
    <row r="122" customFormat="false" ht="15" hidden="false" customHeight="false" outlineLevel="0" collapsed="false">
      <c r="A122" s="34"/>
      <c r="B122" s="9"/>
      <c r="C122" s="9"/>
      <c r="D122" s="9"/>
      <c r="E122" s="9"/>
      <c r="F122" s="9"/>
      <c r="G122" s="9"/>
      <c r="H122" s="35"/>
      <c r="I122" s="9"/>
    </row>
    <row r="123" customFormat="false" ht="15" hidden="false" customHeight="false" outlineLevel="0" collapsed="false">
      <c r="A123" s="34"/>
      <c r="B123" s="9"/>
      <c r="C123" s="9"/>
      <c r="D123" s="9"/>
      <c r="E123" s="9"/>
      <c r="F123" s="9"/>
      <c r="G123" s="9"/>
      <c r="H123" s="35"/>
      <c r="I123" s="9"/>
    </row>
    <row r="124" customFormat="false" ht="15" hidden="false" customHeight="false" outlineLevel="0" collapsed="false">
      <c r="A124" s="34"/>
      <c r="B124" s="9"/>
      <c r="C124" s="9"/>
      <c r="D124" s="9"/>
      <c r="E124" s="9"/>
      <c r="F124" s="9"/>
      <c r="G124" s="9"/>
      <c r="H124" s="35"/>
      <c r="I124" s="9"/>
    </row>
    <row r="125" customFormat="false" ht="15" hidden="false" customHeight="false" outlineLevel="0" collapsed="false">
      <c r="A125" s="34"/>
      <c r="B125" s="9"/>
      <c r="C125" s="9"/>
      <c r="D125" s="9"/>
      <c r="E125" s="9"/>
      <c r="F125" s="9"/>
      <c r="G125" s="9"/>
      <c r="H125" s="35"/>
      <c r="I125" s="9"/>
    </row>
    <row r="126" customFormat="false" ht="15" hidden="false" customHeight="false" outlineLevel="0" collapsed="false">
      <c r="A126" s="34"/>
      <c r="B126" s="9"/>
      <c r="C126" s="9"/>
      <c r="D126" s="9"/>
      <c r="E126" s="9"/>
      <c r="F126" s="9"/>
      <c r="G126" s="9"/>
      <c r="H126" s="35"/>
      <c r="I126" s="9"/>
    </row>
    <row r="127" customFormat="false" ht="15" hidden="false" customHeight="false" outlineLevel="0" collapsed="false">
      <c r="A127" s="34"/>
      <c r="B127" s="9"/>
      <c r="C127" s="9"/>
      <c r="D127" s="9"/>
      <c r="E127" s="9"/>
      <c r="F127" s="9"/>
      <c r="G127" s="9"/>
      <c r="H127" s="35"/>
      <c r="I127" s="9"/>
    </row>
    <row r="128" customFormat="false" ht="15" hidden="false" customHeight="false" outlineLevel="0" collapsed="false">
      <c r="A128" s="34"/>
      <c r="B128" s="9"/>
      <c r="C128" s="9"/>
      <c r="D128" s="9"/>
      <c r="E128" s="9"/>
      <c r="F128" s="9"/>
      <c r="G128" s="9"/>
      <c r="H128" s="35"/>
      <c r="I128" s="9"/>
    </row>
    <row r="129" customFormat="false" ht="15" hidden="false" customHeight="false" outlineLevel="0" collapsed="false">
      <c r="A129" s="34"/>
      <c r="B129" s="9"/>
      <c r="C129" s="9"/>
      <c r="D129" s="9"/>
      <c r="E129" s="9"/>
      <c r="F129" s="9"/>
      <c r="G129" s="9"/>
      <c r="H129" s="35"/>
      <c r="I129" s="9"/>
    </row>
    <row r="130" customFormat="false" ht="15" hidden="false" customHeight="false" outlineLevel="0" collapsed="false">
      <c r="A130" s="34"/>
      <c r="B130" s="9"/>
      <c r="C130" s="9"/>
      <c r="D130" s="9"/>
      <c r="E130" s="9"/>
      <c r="F130" s="9"/>
      <c r="G130" s="9"/>
      <c r="H130" s="35"/>
      <c r="I130" s="9"/>
    </row>
    <row r="131" customFormat="false" ht="15" hidden="false" customHeight="false" outlineLevel="0" collapsed="false">
      <c r="A131" s="34"/>
      <c r="B131" s="9"/>
      <c r="C131" s="9"/>
      <c r="D131" s="9"/>
      <c r="E131" s="9"/>
      <c r="F131" s="9"/>
      <c r="G131" s="9"/>
      <c r="H131" s="35"/>
      <c r="I131" s="9"/>
    </row>
    <row r="132" customFormat="false" ht="15" hidden="false" customHeight="false" outlineLevel="0" collapsed="false">
      <c r="A132" s="34"/>
      <c r="B132" s="9"/>
      <c r="C132" s="9"/>
      <c r="D132" s="9"/>
      <c r="E132" s="9"/>
      <c r="F132" s="9"/>
      <c r="G132" s="9"/>
      <c r="H132" s="35"/>
      <c r="I132" s="9"/>
    </row>
    <row r="133" customFormat="false" ht="15" hidden="false" customHeight="false" outlineLevel="0" collapsed="false">
      <c r="A133" s="34"/>
      <c r="B133" s="9"/>
      <c r="C133" s="9"/>
      <c r="D133" s="9"/>
      <c r="E133" s="9"/>
      <c r="F133" s="9"/>
      <c r="G133" s="9"/>
      <c r="H133" s="35"/>
      <c r="I133" s="9"/>
    </row>
    <row r="134" customFormat="false" ht="15" hidden="false" customHeight="false" outlineLevel="0" collapsed="false">
      <c r="A134" s="34"/>
      <c r="B134" s="9"/>
      <c r="C134" s="9"/>
      <c r="D134" s="9"/>
      <c r="E134" s="9"/>
      <c r="F134" s="9"/>
      <c r="G134" s="9"/>
      <c r="H134" s="35"/>
      <c r="I134" s="9"/>
    </row>
    <row r="135" customFormat="false" ht="15" hidden="false" customHeight="false" outlineLevel="0" collapsed="false">
      <c r="A135" s="34"/>
      <c r="B135" s="9"/>
      <c r="C135" s="9"/>
      <c r="D135" s="9"/>
      <c r="E135" s="9"/>
      <c r="F135" s="9"/>
      <c r="G135" s="9"/>
      <c r="H135" s="35"/>
      <c r="I135" s="9"/>
    </row>
    <row r="136" customFormat="false" ht="15" hidden="false" customHeight="false" outlineLevel="0" collapsed="false">
      <c r="A136" s="34"/>
      <c r="B136" s="9"/>
      <c r="C136" s="9"/>
      <c r="D136" s="9"/>
      <c r="E136" s="9"/>
      <c r="F136" s="9"/>
      <c r="G136" s="9"/>
      <c r="H136" s="35"/>
      <c r="I136" s="9"/>
    </row>
    <row r="137" customFormat="false" ht="15" hidden="false" customHeight="false" outlineLevel="0" collapsed="false">
      <c r="A137" s="34"/>
      <c r="B137" s="9"/>
      <c r="C137" s="9"/>
      <c r="D137" s="9"/>
      <c r="E137" s="9"/>
      <c r="F137" s="9"/>
      <c r="G137" s="9"/>
      <c r="H137" s="35"/>
      <c r="I137" s="9"/>
    </row>
    <row r="138" customFormat="false" ht="15" hidden="false" customHeight="false" outlineLevel="0" collapsed="false">
      <c r="A138" s="34"/>
      <c r="B138" s="9"/>
      <c r="C138" s="9"/>
      <c r="D138" s="9"/>
      <c r="E138" s="9"/>
      <c r="F138" s="9"/>
      <c r="G138" s="9"/>
      <c r="H138" s="35"/>
      <c r="I138" s="9"/>
    </row>
    <row r="139" customFormat="false" ht="15" hidden="false" customHeight="false" outlineLevel="0" collapsed="false">
      <c r="A139" s="34"/>
      <c r="B139" s="9"/>
      <c r="C139" s="9"/>
      <c r="D139" s="9"/>
      <c r="E139" s="9"/>
      <c r="F139" s="9"/>
      <c r="G139" s="9"/>
      <c r="H139" s="35"/>
      <c r="I139" s="9"/>
    </row>
    <row r="140" customFormat="false" ht="15" hidden="false" customHeight="false" outlineLevel="0" collapsed="false">
      <c r="A140" s="34"/>
      <c r="B140" s="9"/>
      <c r="C140" s="9"/>
      <c r="D140" s="9"/>
      <c r="E140" s="9"/>
      <c r="F140" s="9"/>
      <c r="G140" s="9"/>
      <c r="H140" s="35"/>
      <c r="I140" s="9"/>
    </row>
    <row r="141" customFormat="false" ht="15" hidden="false" customHeight="false" outlineLevel="0" collapsed="false">
      <c r="A141" s="34"/>
      <c r="B141" s="9"/>
      <c r="C141" s="9"/>
      <c r="D141" s="9"/>
      <c r="E141" s="9"/>
      <c r="F141" s="9"/>
      <c r="G141" s="9"/>
      <c r="H141" s="35"/>
      <c r="I141" s="9"/>
    </row>
    <row r="142" customFormat="false" ht="15" hidden="false" customHeight="false" outlineLevel="0" collapsed="false">
      <c r="A142" s="34"/>
      <c r="B142" s="9"/>
      <c r="C142" s="9"/>
      <c r="D142" s="9"/>
      <c r="E142" s="9"/>
      <c r="F142" s="9"/>
      <c r="G142" s="9"/>
      <c r="H142" s="35"/>
      <c r="I142" s="9"/>
    </row>
    <row r="143" customFormat="false" ht="15" hidden="false" customHeight="false" outlineLevel="0" collapsed="false">
      <c r="A143" s="34"/>
      <c r="B143" s="9"/>
      <c r="C143" s="9"/>
      <c r="D143" s="9"/>
      <c r="E143" s="9"/>
      <c r="F143" s="9"/>
      <c r="G143" s="9"/>
      <c r="H143" s="35"/>
      <c r="I143" s="9"/>
    </row>
    <row r="144" customFormat="false" ht="15" hidden="false" customHeight="false" outlineLevel="0" collapsed="false">
      <c r="A144" s="34"/>
      <c r="B144" s="9"/>
      <c r="C144" s="9"/>
      <c r="D144" s="9"/>
      <c r="E144" s="9"/>
      <c r="F144" s="9"/>
      <c r="G144" s="9"/>
      <c r="H144" s="35"/>
      <c r="I144" s="9"/>
    </row>
    <row r="145" customFormat="false" ht="15" hidden="false" customHeight="false" outlineLevel="0" collapsed="false">
      <c r="A145" s="34"/>
      <c r="B145" s="9"/>
      <c r="C145" s="9"/>
      <c r="D145" s="9"/>
      <c r="E145" s="9"/>
      <c r="F145" s="9"/>
      <c r="G145" s="9"/>
      <c r="H145" s="35"/>
      <c r="I145" s="9"/>
    </row>
    <row r="146" customFormat="false" ht="15" hidden="false" customHeight="false" outlineLevel="0" collapsed="false">
      <c r="A146" s="34"/>
      <c r="B146" s="9"/>
      <c r="C146" s="9"/>
      <c r="D146" s="9"/>
      <c r="E146" s="9"/>
      <c r="F146" s="9"/>
      <c r="G146" s="9"/>
      <c r="H146" s="35"/>
      <c r="I146" s="9"/>
    </row>
    <row r="147" customFormat="false" ht="15" hidden="false" customHeight="false" outlineLevel="0" collapsed="false">
      <c r="A147" s="34"/>
      <c r="B147" s="9"/>
      <c r="C147" s="9"/>
      <c r="D147" s="9"/>
      <c r="E147" s="9"/>
      <c r="F147" s="9"/>
      <c r="G147" s="9"/>
      <c r="H147" s="35"/>
      <c r="I147" s="9"/>
    </row>
    <row r="148" customFormat="false" ht="15" hidden="false" customHeight="false" outlineLevel="0" collapsed="false">
      <c r="A148" s="34"/>
      <c r="B148" s="9"/>
      <c r="C148" s="9"/>
      <c r="D148" s="9"/>
      <c r="E148" s="9"/>
      <c r="F148" s="9"/>
      <c r="G148" s="9"/>
      <c r="H148" s="35"/>
      <c r="I148" s="9"/>
    </row>
    <row r="149" customFormat="false" ht="15" hidden="false" customHeight="false" outlineLevel="0" collapsed="false">
      <c r="A149" s="34"/>
      <c r="B149" s="9"/>
      <c r="C149" s="9"/>
      <c r="D149" s="9"/>
      <c r="E149" s="9"/>
      <c r="F149" s="9"/>
      <c r="G149" s="9"/>
      <c r="H149" s="35"/>
      <c r="I149" s="9"/>
    </row>
    <row r="150" customFormat="false" ht="15" hidden="false" customHeight="false" outlineLevel="0" collapsed="false">
      <c r="A150" s="34"/>
      <c r="B150" s="9"/>
      <c r="C150" s="9"/>
      <c r="D150" s="9"/>
      <c r="E150" s="9"/>
      <c r="F150" s="9"/>
      <c r="G150" s="9"/>
      <c r="H150" s="35"/>
      <c r="I150" s="9"/>
    </row>
    <row r="151" customFormat="false" ht="15" hidden="false" customHeight="false" outlineLevel="0" collapsed="false">
      <c r="A151" s="34"/>
      <c r="B151" s="9"/>
      <c r="C151" s="9"/>
      <c r="D151" s="9"/>
      <c r="E151" s="9"/>
      <c r="F151" s="9"/>
      <c r="G151" s="9"/>
      <c r="H151" s="35"/>
      <c r="I151" s="9"/>
    </row>
    <row r="152" customFormat="false" ht="15" hidden="false" customHeight="false" outlineLevel="0" collapsed="false">
      <c r="A152" s="34"/>
      <c r="B152" s="9"/>
      <c r="C152" s="9"/>
      <c r="D152" s="9"/>
      <c r="E152" s="9"/>
      <c r="F152" s="9"/>
      <c r="G152" s="9"/>
      <c r="H152" s="35"/>
      <c r="I152" s="9"/>
    </row>
    <row r="153" customFormat="false" ht="15" hidden="false" customHeight="false" outlineLevel="0" collapsed="false">
      <c r="A153" s="34"/>
      <c r="B153" s="9"/>
      <c r="C153" s="9"/>
      <c r="D153" s="9"/>
      <c r="E153" s="9"/>
      <c r="F153" s="9"/>
      <c r="G153" s="9"/>
      <c r="H153" s="35"/>
      <c r="I153" s="9"/>
    </row>
    <row r="154" customFormat="false" ht="15" hidden="false" customHeight="false" outlineLevel="0" collapsed="false">
      <c r="A154" s="34"/>
      <c r="B154" s="9"/>
      <c r="C154" s="9"/>
      <c r="D154" s="9"/>
      <c r="E154" s="9"/>
      <c r="F154" s="9"/>
      <c r="G154" s="9"/>
      <c r="H154" s="35"/>
      <c r="I154" s="9"/>
    </row>
    <row r="155" customFormat="false" ht="15" hidden="false" customHeight="false" outlineLevel="0" collapsed="false">
      <c r="A155" s="34"/>
      <c r="B155" s="9"/>
      <c r="C155" s="9"/>
      <c r="D155" s="9"/>
      <c r="E155" s="9"/>
      <c r="F155" s="9"/>
      <c r="G155" s="9"/>
      <c r="H155" s="35"/>
      <c r="I155" s="9"/>
    </row>
    <row r="156" customFormat="false" ht="15" hidden="false" customHeight="false" outlineLevel="0" collapsed="false">
      <c r="A156" s="34"/>
      <c r="B156" s="9"/>
      <c r="C156" s="9"/>
      <c r="D156" s="9"/>
      <c r="E156" s="9"/>
      <c r="F156" s="9"/>
      <c r="G156" s="9"/>
      <c r="H156" s="35"/>
      <c r="I156" s="9"/>
    </row>
    <row r="157" customFormat="false" ht="15" hidden="false" customHeight="false" outlineLevel="0" collapsed="false">
      <c r="A157" s="34"/>
      <c r="B157" s="9"/>
      <c r="C157" s="9"/>
      <c r="D157" s="9"/>
      <c r="E157" s="9"/>
      <c r="F157" s="9"/>
      <c r="G157" s="9"/>
      <c r="H157" s="35"/>
      <c r="I157" s="9"/>
    </row>
    <row r="158" customFormat="false" ht="15" hidden="false" customHeight="false" outlineLevel="0" collapsed="false">
      <c r="A158" s="34"/>
      <c r="B158" s="9"/>
      <c r="C158" s="9"/>
      <c r="D158" s="9"/>
      <c r="E158" s="9"/>
      <c r="F158" s="9"/>
      <c r="G158" s="9"/>
      <c r="H158" s="35"/>
      <c r="I158" s="9"/>
    </row>
    <row r="159" customFormat="false" ht="15" hidden="false" customHeight="false" outlineLevel="0" collapsed="false">
      <c r="A159" s="34"/>
      <c r="B159" s="9"/>
      <c r="C159" s="9"/>
      <c r="D159" s="9"/>
      <c r="E159" s="9"/>
      <c r="F159" s="9"/>
      <c r="G159" s="9"/>
      <c r="H159" s="35"/>
      <c r="I159" s="9"/>
    </row>
    <row r="160" customFormat="false" ht="15" hidden="false" customHeight="false" outlineLevel="0" collapsed="false">
      <c r="A160" s="34"/>
      <c r="B160" s="9"/>
      <c r="C160" s="9"/>
      <c r="D160" s="9"/>
      <c r="E160" s="9"/>
      <c r="F160" s="9"/>
      <c r="G160" s="9"/>
      <c r="H160" s="35"/>
      <c r="I160" s="9"/>
    </row>
    <row r="161" customFormat="false" ht="15" hidden="false" customHeight="false" outlineLevel="0" collapsed="false">
      <c r="A161" s="34"/>
      <c r="B161" s="9"/>
      <c r="C161" s="9"/>
      <c r="D161" s="9"/>
      <c r="E161" s="9"/>
      <c r="F161" s="9"/>
      <c r="G161" s="9"/>
      <c r="H161" s="35"/>
      <c r="I161" s="9"/>
    </row>
    <row r="162" customFormat="false" ht="15" hidden="false" customHeight="false" outlineLevel="0" collapsed="false">
      <c r="A162" s="34"/>
      <c r="B162" s="9"/>
      <c r="C162" s="9"/>
      <c r="D162" s="9"/>
      <c r="E162" s="9"/>
      <c r="F162" s="9"/>
      <c r="G162" s="9"/>
      <c r="H162" s="35"/>
      <c r="I162" s="9"/>
    </row>
    <row r="163" customFormat="false" ht="15" hidden="false" customHeight="false" outlineLevel="0" collapsed="false">
      <c r="A163" s="34"/>
      <c r="B163" s="9"/>
      <c r="C163" s="9"/>
      <c r="D163" s="9"/>
      <c r="E163" s="9"/>
      <c r="F163" s="9"/>
      <c r="G163" s="9"/>
      <c r="H163" s="35"/>
      <c r="I163" s="9"/>
    </row>
    <row r="164" customFormat="false" ht="15" hidden="false" customHeight="false" outlineLevel="0" collapsed="false">
      <c r="A164" s="34"/>
      <c r="B164" s="9"/>
      <c r="C164" s="9"/>
      <c r="D164" s="9"/>
      <c r="E164" s="9"/>
      <c r="F164" s="9"/>
      <c r="G164" s="9"/>
      <c r="H164" s="35"/>
      <c r="I164" s="9"/>
    </row>
    <row r="165" customFormat="false" ht="15" hidden="false" customHeight="false" outlineLevel="0" collapsed="false">
      <c r="A165" s="34"/>
      <c r="B165" s="9"/>
      <c r="C165" s="9"/>
      <c r="D165" s="9"/>
      <c r="E165" s="9"/>
      <c r="F165" s="9"/>
      <c r="G165" s="9"/>
      <c r="H165" s="35"/>
      <c r="I165" s="9"/>
    </row>
    <row r="166" customFormat="false" ht="15" hidden="false" customHeight="false" outlineLevel="0" collapsed="false">
      <c r="A166" s="34"/>
      <c r="B166" s="9"/>
      <c r="C166" s="9"/>
      <c r="D166" s="9"/>
      <c r="E166" s="9"/>
      <c r="F166" s="9"/>
      <c r="G166" s="9"/>
      <c r="H166" s="35"/>
      <c r="I166" s="9"/>
    </row>
    <row r="167" customFormat="false" ht="15" hidden="false" customHeight="false" outlineLevel="0" collapsed="false">
      <c r="A167" s="34"/>
      <c r="B167" s="9"/>
      <c r="C167" s="9"/>
      <c r="D167" s="9"/>
      <c r="E167" s="9"/>
      <c r="F167" s="9"/>
      <c r="G167" s="9"/>
      <c r="H167" s="35"/>
      <c r="I167" s="9"/>
    </row>
    <row r="168" customFormat="false" ht="15" hidden="false" customHeight="false" outlineLevel="0" collapsed="false">
      <c r="A168" s="34"/>
      <c r="B168" s="9"/>
      <c r="C168" s="9"/>
      <c r="D168" s="9"/>
      <c r="E168" s="9"/>
      <c r="F168" s="9"/>
      <c r="G168" s="9"/>
      <c r="H168" s="35"/>
      <c r="I168" s="9"/>
    </row>
    <row r="169" customFormat="false" ht="15" hidden="false" customHeight="false" outlineLevel="0" collapsed="false">
      <c r="A169" s="34"/>
      <c r="B169" s="9"/>
      <c r="C169" s="9"/>
      <c r="D169" s="9"/>
      <c r="E169" s="9"/>
      <c r="F169" s="9"/>
      <c r="G169" s="9"/>
      <c r="H169" s="35"/>
      <c r="I169" s="9"/>
    </row>
    <row r="170" customFormat="false" ht="15" hidden="false" customHeight="false" outlineLevel="0" collapsed="false">
      <c r="A170" s="34"/>
      <c r="B170" s="9"/>
      <c r="C170" s="9"/>
      <c r="D170" s="9"/>
      <c r="E170" s="9"/>
      <c r="F170" s="9"/>
      <c r="G170" s="9"/>
      <c r="H170" s="35"/>
      <c r="I170" s="9"/>
    </row>
    <row r="171" customFormat="false" ht="15" hidden="false" customHeight="false" outlineLevel="0" collapsed="false">
      <c r="A171" s="34"/>
      <c r="B171" s="9"/>
      <c r="C171" s="9"/>
      <c r="D171" s="9"/>
      <c r="E171" s="9"/>
      <c r="F171" s="9"/>
      <c r="G171" s="9"/>
      <c r="H171" s="35"/>
      <c r="I171" s="9"/>
    </row>
    <row r="172" customFormat="false" ht="15" hidden="false" customHeight="false" outlineLevel="0" collapsed="false">
      <c r="A172" s="34"/>
      <c r="B172" s="9"/>
      <c r="C172" s="9"/>
      <c r="D172" s="9"/>
      <c r="E172" s="9"/>
      <c r="F172" s="9"/>
      <c r="G172" s="9"/>
      <c r="H172" s="35"/>
      <c r="I172" s="9"/>
    </row>
    <row r="173" customFormat="false" ht="15" hidden="false" customHeight="false" outlineLevel="0" collapsed="false">
      <c r="A173" s="34"/>
      <c r="B173" s="9"/>
      <c r="C173" s="9"/>
      <c r="D173" s="9"/>
      <c r="E173" s="9"/>
      <c r="F173" s="9"/>
      <c r="G173" s="9"/>
      <c r="H173" s="35"/>
      <c r="I173" s="9"/>
    </row>
    <row r="174" customFormat="false" ht="15" hidden="false" customHeight="false" outlineLevel="0" collapsed="false">
      <c r="A174" s="34"/>
      <c r="B174" s="9"/>
      <c r="C174" s="9"/>
      <c r="D174" s="9"/>
      <c r="E174" s="9"/>
      <c r="F174" s="9"/>
      <c r="G174" s="9"/>
      <c r="H174" s="35"/>
      <c r="I174" s="9"/>
    </row>
    <row r="175" customFormat="false" ht="15" hidden="false" customHeight="false" outlineLevel="0" collapsed="false">
      <c r="A175" s="34"/>
      <c r="B175" s="9"/>
      <c r="C175" s="9"/>
      <c r="D175" s="9"/>
      <c r="E175" s="9"/>
      <c r="F175" s="9"/>
      <c r="G175" s="9"/>
      <c r="H175" s="35"/>
      <c r="I175" s="9"/>
    </row>
    <row r="176" customFormat="false" ht="15" hidden="false" customHeight="false" outlineLevel="0" collapsed="false">
      <c r="A176" s="34"/>
      <c r="B176" s="9"/>
      <c r="C176" s="9"/>
      <c r="D176" s="9"/>
      <c r="E176" s="9"/>
      <c r="F176" s="9"/>
      <c r="G176" s="9"/>
      <c r="H176" s="35"/>
      <c r="I176" s="9"/>
    </row>
    <row r="177" customFormat="false" ht="15" hidden="false" customHeight="false" outlineLevel="0" collapsed="false">
      <c r="A177" s="34"/>
      <c r="B177" s="9"/>
      <c r="C177" s="9"/>
      <c r="D177" s="9"/>
      <c r="E177" s="9"/>
      <c r="F177" s="9"/>
      <c r="G177" s="9"/>
      <c r="H177" s="35"/>
      <c r="I177" s="9"/>
    </row>
    <row r="178" customFormat="false" ht="15" hidden="false" customHeight="false" outlineLevel="0" collapsed="false">
      <c r="A178" s="34"/>
      <c r="B178" s="9"/>
      <c r="C178" s="9"/>
      <c r="D178" s="9"/>
      <c r="E178" s="9"/>
      <c r="F178" s="9"/>
      <c r="G178" s="9"/>
      <c r="H178" s="35"/>
      <c r="I178" s="9"/>
    </row>
    <row r="179" customFormat="false" ht="15" hidden="false" customHeight="false" outlineLevel="0" collapsed="false">
      <c r="A179" s="34"/>
      <c r="B179" s="9"/>
      <c r="C179" s="9"/>
      <c r="D179" s="9"/>
      <c r="E179" s="9"/>
      <c r="F179" s="9"/>
      <c r="G179" s="9"/>
      <c r="H179" s="35"/>
      <c r="I179" s="9"/>
    </row>
    <row r="180" customFormat="false" ht="15" hidden="false" customHeight="false" outlineLevel="0" collapsed="false">
      <c r="A180" s="34"/>
      <c r="B180" s="9"/>
      <c r="C180" s="9"/>
      <c r="D180" s="9"/>
      <c r="E180" s="9"/>
      <c r="F180" s="9"/>
      <c r="G180" s="9"/>
      <c r="H180" s="35"/>
      <c r="I180" s="9"/>
    </row>
    <row r="181" customFormat="false" ht="15" hidden="false" customHeight="false" outlineLevel="0" collapsed="false">
      <c r="A181" s="34"/>
      <c r="B181" s="9"/>
      <c r="C181" s="9"/>
      <c r="D181" s="9"/>
      <c r="E181" s="9"/>
      <c r="F181" s="9"/>
      <c r="G181" s="9"/>
      <c r="H181" s="35"/>
      <c r="I181" s="9"/>
    </row>
    <row r="182" customFormat="false" ht="15" hidden="false" customHeight="false" outlineLevel="0" collapsed="false">
      <c r="A182" s="34"/>
      <c r="B182" s="9"/>
      <c r="C182" s="9"/>
      <c r="D182" s="9"/>
      <c r="E182" s="9"/>
      <c r="F182" s="9"/>
      <c r="G182" s="9"/>
      <c r="H182" s="35"/>
      <c r="I182" s="9"/>
    </row>
    <row r="183" customFormat="false" ht="15" hidden="false" customHeight="false" outlineLevel="0" collapsed="false">
      <c r="A183" s="34"/>
      <c r="B183" s="9"/>
      <c r="C183" s="9"/>
      <c r="D183" s="9"/>
      <c r="E183" s="9"/>
      <c r="F183" s="9"/>
      <c r="G183" s="9"/>
      <c r="H183" s="35"/>
      <c r="I183" s="9"/>
    </row>
    <row r="184" customFormat="false" ht="15" hidden="false" customHeight="false" outlineLevel="0" collapsed="false">
      <c r="A184" s="34"/>
      <c r="B184" s="9"/>
      <c r="C184" s="9"/>
      <c r="D184" s="9"/>
      <c r="E184" s="9"/>
      <c r="F184" s="9"/>
      <c r="G184" s="9"/>
      <c r="H184" s="35"/>
      <c r="I184" s="9"/>
    </row>
    <row r="185" customFormat="false" ht="15" hidden="false" customHeight="false" outlineLevel="0" collapsed="false">
      <c r="A185" s="34"/>
      <c r="B185" s="9"/>
      <c r="C185" s="9"/>
      <c r="D185" s="9"/>
      <c r="E185" s="9"/>
      <c r="F185" s="9"/>
      <c r="G185" s="9"/>
      <c r="H185" s="35"/>
      <c r="I185" s="9"/>
    </row>
    <row r="186" customFormat="false" ht="15" hidden="false" customHeight="false" outlineLevel="0" collapsed="false">
      <c r="A186" s="34"/>
      <c r="B186" s="9"/>
      <c r="C186" s="9"/>
      <c r="D186" s="9"/>
      <c r="E186" s="9"/>
      <c r="F186" s="9"/>
      <c r="G186" s="9"/>
      <c r="H186" s="35"/>
      <c r="I186" s="9"/>
    </row>
    <row r="187" customFormat="false" ht="15" hidden="false" customHeight="false" outlineLevel="0" collapsed="false">
      <c r="A187" s="34"/>
      <c r="B187" s="9"/>
      <c r="C187" s="9"/>
      <c r="D187" s="9"/>
      <c r="E187" s="9"/>
      <c r="F187" s="9"/>
      <c r="G187" s="9"/>
      <c r="H187" s="35"/>
      <c r="I187" s="9"/>
    </row>
    <row r="188" customFormat="false" ht="15" hidden="false" customHeight="false" outlineLevel="0" collapsed="false">
      <c r="A188" s="34"/>
      <c r="B188" s="9"/>
      <c r="C188" s="9"/>
      <c r="D188" s="9"/>
      <c r="E188" s="9"/>
      <c r="F188" s="9"/>
      <c r="G188" s="9"/>
      <c r="H188" s="35"/>
      <c r="I188" s="9"/>
    </row>
    <row r="189" customFormat="false" ht="15" hidden="false" customHeight="false" outlineLevel="0" collapsed="false">
      <c r="A189" s="34"/>
      <c r="B189" s="9"/>
      <c r="C189" s="9"/>
      <c r="D189" s="9"/>
      <c r="E189" s="9"/>
      <c r="F189" s="9"/>
      <c r="G189" s="9"/>
      <c r="H189" s="35"/>
      <c r="I189" s="9"/>
    </row>
    <row r="190" customFormat="false" ht="15" hidden="false" customHeight="false" outlineLevel="0" collapsed="false">
      <c r="A190" s="34"/>
      <c r="B190" s="9"/>
      <c r="C190" s="9"/>
      <c r="D190" s="9"/>
      <c r="E190" s="9"/>
      <c r="F190" s="9"/>
      <c r="G190" s="9"/>
      <c r="H190" s="35"/>
      <c r="I190" s="9"/>
    </row>
    <row r="191" customFormat="false" ht="15" hidden="false" customHeight="false" outlineLevel="0" collapsed="false">
      <c r="A191" s="34"/>
      <c r="B191" s="9"/>
      <c r="C191" s="9"/>
      <c r="D191" s="9"/>
      <c r="E191" s="9"/>
      <c r="F191" s="9"/>
      <c r="G191" s="9"/>
      <c r="H191" s="35"/>
      <c r="I191" s="9"/>
    </row>
    <row r="192" customFormat="false" ht="15" hidden="false" customHeight="false" outlineLevel="0" collapsed="false">
      <c r="A192" s="34"/>
      <c r="B192" s="9"/>
      <c r="C192" s="9"/>
      <c r="D192" s="9"/>
      <c r="E192" s="9"/>
      <c r="F192" s="9"/>
      <c r="G192" s="9"/>
      <c r="H192" s="35"/>
      <c r="I192" s="9"/>
    </row>
    <row r="193" customFormat="false" ht="15" hidden="false" customHeight="false" outlineLevel="0" collapsed="false">
      <c r="A193" s="34"/>
      <c r="B193" s="9"/>
      <c r="C193" s="9"/>
      <c r="D193" s="9"/>
      <c r="E193" s="9"/>
      <c r="F193" s="9"/>
      <c r="G193" s="9"/>
      <c r="H193" s="35"/>
      <c r="I193" s="9"/>
    </row>
    <row r="194" customFormat="false" ht="15" hidden="false" customHeight="false" outlineLevel="0" collapsed="false">
      <c r="A194" s="34"/>
      <c r="B194" s="9"/>
      <c r="C194" s="9"/>
      <c r="D194" s="9"/>
      <c r="E194" s="9"/>
      <c r="F194" s="9"/>
      <c r="G194" s="9"/>
      <c r="H194" s="35"/>
      <c r="I194" s="9"/>
    </row>
    <row r="195" customFormat="false" ht="15" hidden="false" customHeight="false" outlineLevel="0" collapsed="false">
      <c r="A195" s="34"/>
      <c r="B195" s="9"/>
      <c r="C195" s="9"/>
      <c r="D195" s="9"/>
      <c r="E195" s="9"/>
      <c r="F195" s="9"/>
      <c r="G195" s="9"/>
      <c r="H195" s="35"/>
      <c r="I195" s="9"/>
    </row>
    <row r="196" customFormat="false" ht="15" hidden="false" customHeight="false" outlineLevel="0" collapsed="false">
      <c r="A196" s="34"/>
      <c r="B196" s="9"/>
      <c r="C196" s="9"/>
      <c r="D196" s="9"/>
      <c r="E196" s="9"/>
      <c r="F196" s="9"/>
      <c r="G196" s="9"/>
      <c r="H196" s="35"/>
      <c r="I196" s="9"/>
    </row>
    <row r="197" customFormat="false" ht="15" hidden="false" customHeight="false" outlineLevel="0" collapsed="false">
      <c r="A197" s="34"/>
      <c r="B197" s="9"/>
      <c r="C197" s="9"/>
      <c r="D197" s="9"/>
      <c r="E197" s="9"/>
      <c r="F197" s="9"/>
      <c r="G197" s="9"/>
      <c r="H197" s="35"/>
      <c r="I197" s="9"/>
    </row>
    <row r="198" customFormat="false" ht="15" hidden="false" customHeight="false" outlineLevel="0" collapsed="false">
      <c r="A198" s="34"/>
      <c r="B198" s="9"/>
      <c r="C198" s="9"/>
      <c r="D198" s="9"/>
      <c r="E198" s="9"/>
      <c r="F198" s="9"/>
      <c r="G198" s="9"/>
      <c r="H198" s="35"/>
      <c r="I198" s="9"/>
    </row>
    <row r="199" customFormat="false" ht="15" hidden="false" customHeight="false" outlineLevel="0" collapsed="false">
      <c r="A199" s="34"/>
      <c r="B199" s="9"/>
      <c r="C199" s="9"/>
      <c r="D199" s="9"/>
      <c r="E199" s="9"/>
      <c r="F199" s="9"/>
      <c r="G199" s="9"/>
      <c r="H199" s="35"/>
      <c r="I199" s="9"/>
    </row>
    <row r="200" customFormat="false" ht="15" hidden="false" customHeight="false" outlineLevel="0" collapsed="false">
      <c r="A200" s="34"/>
      <c r="B200" s="9"/>
      <c r="C200" s="9"/>
      <c r="D200" s="9"/>
      <c r="E200" s="9"/>
      <c r="F200" s="9"/>
      <c r="G200" s="9"/>
      <c r="H200" s="35"/>
      <c r="I200" s="9"/>
    </row>
    <row r="201" customFormat="false" ht="15" hidden="false" customHeight="false" outlineLevel="0" collapsed="false">
      <c r="A201" s="34"/>
      <c r="B201" s="9"/>
      <c r="C201" s="9"/>
      <c r="D201" s="9"/>
      <c r="E201" s="9"/>
      <c r="F201" s="9"/>
      <c r="G201" s="9"/>
      <c r="H201" s="35"/>
      <c r="I201" s="9"/>
    </row>
    <row r="202" customFormat="false" ht="15" hidden="false" customHeight="false" outlineLevel="0" collapsed="false">
      <c r="A202" s="34"/>
      <c r="B202" s="9"/>
      <c r="C202" s="9"/>
      <c r="D202" s="9"/>
      <c r="E202" s="9"/>
      <c r="F202" s="9"/>
      <c r="G202" s="9"/>
      <c r="H202" s="35"/>
      <c r="I202" s="9"/>
    </row>
    <row r="203" customFormat="false" ht="15" hidden="false" customHeight="false" outlineLevel="0" collapsed="false">
      <c r="A203" s="34"/>
      <c r="B203" s="9"/>
      <c r="C203" s="9"/>
      <c r="D203" s="9"/>
      <c r="E203" s="9"/>
      <c r="F203" s="9"/>
      <c r="G203" s="9"/>
      <c r="H203" s="35"/>
      <c r="I203" s="9"/>
    </row>
    <row r="204" customFormat="false" ht="15" hidden="false" customHeight="false" outlineLevel="0" collapsed="false">
      <c r="A204" s="34"/>
      <c r="B204" s="9"/>
      <c r="C204" s="9"/>
      <c r="D204" s="9"/>
      <c r="E204" s="9"/>
      <c r="F204" s="9"/>
      <c r="G204" s="9"/>
      <c r="H204" s="35"/>
      <c r="I204" s="9"/>
    </row>
    <row r="205" customFormat="false" ht="15" hidden="false" customHeight="false" outlineLevel="0" collapsed="false">
      <c r="A205" s="34"/>
      <c r="B205" s="9"/>
      <c r="C205" s="9"/>
      <c r="D205" s="9"/>
      <c r="E205" s="9"/>
      <c r="F205" s="9"/>
      <c r="G205" s="9"/>
      <c r="H205" s="35"/>
      <c r="I205" s="9"/>
    </row>
    <row r="206" customFormat="false" ht="15" hidden="false" customHeight="false" outlineLevel="0" collapsed="false">
      <c r="A206" s="34"/>
      <c r="B206" s="9"/>
      <c r="C206" s="9"/>
      <c r="D206" s="9"/>
      <c r="E206" s="9"/>
      <c r="F206" s="9"/>
      <c r="G206" s="9"/>
      <c r="H206" s="35"/>
      <c r="I206" s="9"/>
    </row>
    <row r="207" customFormat="false" ht="15" hidden="false" customHeight="false" outlineLevel="0" collapsed="false">
      <c r="A207" s="34"/>
      <c r="B207" s="9"/>
      <c r="C207" s="9"/>
      <c r="D207" s="9"/>
      <c r="E207" s="9"/>
      <c r="F207" s="9"/>
      <c r="G207" s="9"/>
      <c r="H207" s="35"/>
      <c r="I207" s="9"/>
    </row>
    <row r="208" customFormat="false" ht="15" hidden="false" customHeight="false" outlineLevel="0" collapsed="false">
      <c r="A208" s="34"/>
      <c r="B208" s="9"/>
      <c r="C208" s="9"/>
      <c r="D208" s="9"/>
      <c r="E208" s="9"/>
      <c r="F208" s="9"/>
      <c r="G208" s="9"/>
      <c r="H208" s="35"/>
      <c r="I208" s="9"/>
    </row>
    <row r="209" customFormat="false" ht="15" hidden="false" customHeight="false" outlineLevel="0" collapsed="false">
      <c r="A209" s="34"/>
      <c r="B209" s="9"/>
      <c r="C209" s="9"/>
      <c r="D209" s="9"/>
      <c r="E209" s="9"/>
      <c r="F209" s="9"/>
      <c r="G209" s="9"/>
      <c r="H209" s="35"/>
      <c r="I209" s="9"/>
    </row>
    <row r="210" customFormat="false" ht="15" hidden="false" customHeight="false" outlineLevel="0" collapsed="false">
      <c r="A210" s="34"/>
      <c r="B210" s="9"/>
      <c r="C210" s="9"/>
      <c r="D210" s="9"/>
      <c r="E210" s="9"/>
      <c r="F210" s="9"/>
      <c r="G210" s="9"/>
      <c r="H210" s="35"/>
      <c r="I210" s="9"/>
    </row>
    <row r="211" customFormat="false" ht="15" hidden="false" customHeight="false" outlineLevel="0" collapsed="false">
      <c r="A211" s="34"/>
      <c r="B211" s="9"/>
      <c r="C211" s="9"/>
      <c r="D211" s="9"/>
      <c r="E211" s="9"/>
      <c r="F211" s="9"/>
      <c r="G211" s="9"/>
      <c r="H211" s="35"/>
      <c r="I211" s="9"/>
    </row>
    <row r="212" customFormat="false" ht="15" hidden="false" customHeight="false" outlineLevel="0" collapsed="false">
      <c r="A212" s="34"/>
      <c r="B212" s="9"/>
      <c r="C212" s="9"/>
      <c r="D212" s="9"/>
      <c r="E212" s="9"/>
      <c r="F212" s="9"/>
      <c r="G212" s="9"/>
      <c r="H212" s="35"/>
      <c r="I212" s="9"/>
    </row>
    <row r="213" customFormat="false" ht="15" hidden="false" customHeight="false" outlineLevel="0" collapsed="false">
      <c r="A213" s="34"/>
      <c r="B213" s="9"/>
      <c r="C213" s="9"/>
      <c r="D213" s="9"/>
      <c r="E213" s="9"/>
      <c r="F213" s="9"/>
      <c r="G213" s="9"/>
      <c r="H213" s="35"/>
      <c r="I213" s="9"/>
    </row>
    <row r="214" customFormat="false" ht="15" hidden="false" customHeight="false" outlineLevel="0" collapsed="false">
      <c r="A214" s="34"/>
      <c r="B214" s="9"/>
      <c r="C214" s="9"/>
      <c r="D214" s="9"/>
      <c r="E214" s="9"/>
      <c r="F214" s="9"/>
      <c r="G214" s="9"/>
      <c r="H214" s="35"/>
      <c r="I214" s="9"/>
    </row>
    <row r="215" customFormat="false" ht="15" hidden="false" customHeight="false" outlineLevel="0" collapsed="false">
      <c r="A215" s="34"/>
      <c r="B215" s="9"/>
      <c r="C215" s="9"/>
      <c r="D215" s="9"/>
      <c r="E215" s="9"/>
      <c r="F215" s="9"/>
      <c r="G215" s="9"/>
      <c r="H215" s="35"/>
      <c r="I215" s="9"/>
    </row>
    <row r="216" customFormat="false" ht="15" hidden="false" customHeight="false" outlineLevel="0" collapsed="false">
      <c r="A216" s="34"/>
      <c r="B216" s="9"/>
      <c r="C216" s="9"/>
      <c r="D216" s="9"/>
      <c r="E216" s="9"/>
      <c r="F216" s="9"/>
      <c r="G216" s="9"/>
      <c r="H216" s="35"/>
      <c r="I216" s="9"/>
    </row>
    <row r="217" customFormat="false" ht="15" hidden="false" customHeight="false" outlineLevel="0" collapsed="false">
      <c r="A217" s="34"/>
      <c r="B217" s="9"/>
      <c r="C217" s="9"/>
      <c r="D217" s="9"/>
      <c r="E217" s="9"/>
      <c r="F217" s="9"/>
      <c r="G217" s="9"/>
      <c r="H217" s="35"/>
      <c r="I217" s="9"/>
    </row>
    <row r="218" customFormat="false" ht="15" hidden="false" customHeight="false" outlineLevel="0" collapsed="false">
      <c r="A218" s="34"/>
      <c r="B218" s="9"/>
      <c r="C218" s="9"/>
      <c r="D218" s="9"/>
      <c r="E218" s="9"/>
      <c r="F218" s="9"/>
      <c r="G218" s="9"/>
      <c r="H218" s="35"/>
      <c r="I218" s="9"/>
    </row>
    <row r="219" customFormat="false" ht="15" hidden="false" customHeight="false" outlineLevel="0" collapsed="false">
      <c r="A219" s="34"/>
      <c r="B219" s="9"/>
      <c r="C219" s="9"/>
      <c r="D219" s="9"/>
      <c r="E219" s="9"/>
      <c r="F219" s="9"/>
      <c r="G219" s="9"/>
      <c r="H219" s="35"/>
      <c r="I219" s="9"/>
    </row>
    <row r="220" customFormat="false" ht="15" hidden="false" customHeight="false" outlineLevel="0" collapsed="false">
      <c r="A220" s="34"/>
      <c r="B220" s="9"/>
      <c r="C220" s="9"/>
      <c r="D220" s="9"/>
      <c r="E220" s="9"/>
      <c r="F220" s="9"/>
      <c r="G220" s="9"/>
      <c r="H220" s="35"/>
      <c r="I220" s="9"/>
    </row>
    <row r="221" customFormat="false" ht="15" hidden="false" customHeight="false" outlineLevel="0" collapsed="false">
      <c r="A221" s="34"/>
      <c r="B221" s="9"/>
      <c r="C221" s="9"/>
      <c r="D221" s="9"/>
      <c r="E221" s="9"/>
      <c r="F221" s="9"/>
      <c r="G221" s="9"/>
      <c r="H221" s="35"/>
      <c r="I221" s="9"/>
    </row>
    <row r="222" customFormat="false" ht="15" hidden="false" customHeight="false" outlineLevel="0" collapsed="false">
      <c r="A222" s="34"/>
      <c r="B222" s="9"/>
      <c r="C222" s="9"/>
      <c r="D222" s="9"/>
      <c r="E222" s="9"/>
      <c r="F222" s="9"/>
      <c r="G222" s="9"/>
      <c r="H222" s="35"/>
      <c r="I222" s="9"/>
    </row>
    <row r="223" customFormat="false" ht="15" hidden="false" customHeight="false" outlineLevel="0" collapsed="false">
      <c r="A223" s="34"/>
      <c r="B223" s="9"/>
      <c r="C223" s="9"/>
      <c r="D223" s="9"/>
      <c r="E223" s="9"/>
      <c r="F223" s="9"/>
      <c r="G223" s="9"/>
      <c r="H223" s="35"/>
      <c r="I223" s="9"/>
    </row>
    <row r="224" customFormat="false" ht="15" hidden="false" customHeight="false" outlineLevel="0" collapsed="false">
      <c r="A224" s="34"/>
      <c r="B224" s="9"/>
      <c r="C224" s="9"/>
      <c r="D224" s="9"/>
      <c r="E224" s="9"/>
      <c r="F224" s="9"/>
      <c r="G224" s="9"/>
      <c r="H224" s="35"/>
      <c r="I224" s="9"/>
    </row>
    <row r="225" customFormat="false" ht="15" hidden="false" customHeight="false" outlineLevel="0" collapsed="false">
      <c r="A225" s="34"/>
      <c r="B225" s="9"/>
      <c r="C225" s="9"/>
      <c r="D225" s="9"/>
      <c r="E225" s="9"/>
      <c r="F225" s="9"/>
      <c r="G225" s="9"/>
      <c r="H225" s="35"/>
      <c r="I225" s="9"/>
    </row>
    <row r="226" customFormat="false" ht="15" hidden="false" customHeight="false" outlineLevel="0" collapsed="false">
      <c r="A226" s="34"/>
      <c r="B226" s="9"/>
      <c r="C226" s="9"/>
      <c r="D226" s="9"/>
      <c r="E226" s="9"/>
      <c r="F226" s="9"/>
      <c r="G226" s="9"/>
      <c r="H226" s="35"/>
      <c r="I226" s="9"/>
    </row>
    <row r="227" customFormat="false" ht="15" hidden="false" customHeight="false" outlineLevel="0" collapsed="false">
      <c r="A227" s="34"/>
      <c r="B227" s="9"/>
      <c r="C227" s="9"/>
      <c r="D227" s="9"/>
      <c r="E227" s="9"/>
      <c r="F227" s="9"/>
      <c r="G227" s="9"/>
      <c r="H227" s="35"/>
      <c r="I227" s="9"/>
    </row>
    <row r="228" customFormat="false" ht="15" hidden="false" customHeight="false" outlineLevel="0" collapsed="false">
      <c r="A228" s="34"/>
      <c r="B228" s="9"/>
      <c r="C228" s="9"/>
      <c r="D228" s="9"/>
      <c r="E228" s="9"/>
      <c r="F228" s="9"/>
      <c r="G228" s="9"/>
      <c r="H228" s="35"/>
      <c r="I228" s="9"/>
    </row>
    <row r="229" customFormat="false" ht="15" hidden="false" customHeight="false" outlineLevel="0" collapsed="false">
      <c r="A229" s="34"/>
      <c r="B229" s="9"/>
      <c r="C229" s="9"/>
      <c r="D229" s="9"/>
      <c r="E229" s="9"/>
      <c r="F229" s="9"/>
      <c r="G229" s="9"/>
      <c r="H229" s="35"/>
      <c r="I229" s="9"/>
    </row>
    <row r="230" customFormat="false" ht="15" hidden="false" customHeight="false" outlineLevel="0" collapsed="false">
      <c r="A230" s="34"/>
      <c r="B230" s="9"/>
      <c r="C230" s="9"/>
      <c r="D230" s="9"/>
      <c r="E230" s="9"/>
      <c r="F230" s="9"/>
      <c r="G230" s="9"/>
      <c r="H230" s="35"/>
      <c r="I230" s="9"/>
    </row>
    <row r="231" customFormat="false" ht="15" hidden="false" customHeight="false" outlineLevel="0" collapsed="false">
      <c r="A231" s="34"/>
      <c r="B231" s="9"/>
      <c r="C231" s="9"/>
      <c r="D231" s="9"/>
      <c r="E231" s="9"/>
      <c r="F231" s="9"/>
      <c r="G231" s="9"/>
      <c r="H231" s="35"/>
      <c r="I231" s="9"/>
    </row>
    <row r="232" customFormat="false" ht="15" hidden="false" customHeight="false" outlineLevel="0" collapsed="false">
      <c r="A232" s="34"/>
      <c r="B232" s="9"/>
      <c r="C232" s="9"/>
      <c r="D232" s="9"/>
      <c r="E232" s="9"/>
      <c r="F232" s="9"/>
      <c r="G232" s="9"/>
      <c r="H232" s="35"/>
      <c r="I232" s="9"/>
    </row>
    <row r="233" customFormat="false" ht="15" hidden="false" customHeight="false" outlineLevel="0" collapsed="false">
      <c r="A233" s="34"/>
      <c r="B233" s="9"/>
      <c r="C233" s="9"/>
      <c r="D233" s="9"/>
      <c r="E233" s="9"/>
      <c r="F233" s="9"/>
      <c r="G233" s="9"/>
      <c r="H233" s="35"/>
      <c r="I233" s="9"/>
    </row>
    <row r="234" customFormat="false" ht="15" hidden="false" customHeight="false" outlineLevel="0" collapsed="false">
      <c r="A234" s="34"/>
      <c r="B234" s="9"/>
      <c r="C234" s="9"/>
      <c r="D234" s="9"/>
      <c r="E234" s="9"/>
      <c r="F234" s="9"/>
      <c r="G234" s="9"/>
      <c r="H234" s="35"/>
      <c r="I234" s="9"/>
    </row>
    <row r="235" customFormat="false" ht="15" hidden="false" customHeight="false" outlineLevel="0" collapsed="false">
      <c r="A235" s="34"/>
      <c r="B235" s="9"/>
      <c r="C235" s="9"/>
      <c r="D235" s="9"/>
      <c r="E235" s="9"/>
      <c r="F235" s="9"/>
      <c r="G235" s="9"/>
      <c r="H235" s="35"/>
      <c r="I235" s="9"/>
    </row>
    <row r="236" customFormat="false" ht="15" hidden="false" customHeight="false" outlineLevel="0" collapsed="false">
      <c r="A236" s="34"/>
      <c r="B236" s="9"/>
      <c r="C236" s="9"/>
      <c r="D236" s="9"/>
      <c r="E236" s="9"/>
      <c r="F236" s="9"/>
      <c r="G236" s="9"/>
      <c r="H236" s="35"/>
      <c r="I236" s="9"/>
    </row>
    <row r="237" customFormat="false" ht="15" hidden="false" customHeight="false" outlineLevel="0" collapsed="false">
      <c r="A237" s="34"/>
      <c r="B237" s="9"/>
      <c r="C237" s="9"/>
      <c r="D237" s="9"/>
      <c r="E237" s="9"/>
      <c r="F237" s="9"/>
      <c r="G237" s="9"/>
      <c r="H237" s="35"/>
      <c r="I237" s="9"/>
    </row>
    <row r="238" customFormat="false" ht="15" hidden="false" customHeight="false" outlineLevel="0" collapsed="false">
      <c r="A238" s="34"/>
      <c r="B238" s="9"/>
      <c r="C238" s="9"/>
      <c r="D238" s="9"/>
      <c r="E238" s="9"/>
      <c r="F238" s="9"/>
      <c r="G238" s="9"/>
      <c r="H238" s="35"/>
      <c r="I238" s="9"/>
    </row>
    <row r="239" customFormat="false" ht="15" hidden="false" customHeight="false" outlineLevel="0" collapsed="false">
      <c r="A239" s="34"/>
      <c r="B239" s="9"/>
      <c r="C239" s="9"/>
      <c r="D239" s="9"/>
      <c r="E239" s="9"/>
      <c r="F239" s="9"/>
      <c r="G239" s="9"/>
      <c r="H239" s="35"/>
      <c r="I239" s="9"/>
    </row>
    <row r="240" customFormat="false" ht="15" hidden="false" customHeight="false" outlineLevel="0" collapsed="false">
      <c r="A240" s="34"/>
      <c r="B240" s="9"/>
      <c r="C240" s="9"/>
      <c r="D240" s="9"/>
      <c r="E240" s="9"/>
      <c r="F240" s="9"/>
      <c r="G240" s="9"/>
      <c r="H240" s="35"/>
      <c r="I240" s="9"/>
    </row>
    <row r="241" customFormat="false" ht="15" hidden="false" customHeight="false" outlineLevel="0" collapsed="false">
      <c r="A241" s="34"/>
      <c r="B241" s="9"/>
      <c r="C241" s="9"/>
      <c r="D241" s="9"/>
      <c r="E241" s="9"/>
      <c r="F241" s="9"/>
      <c r="G241" s="9"/>
      <c r="H241" s="35"/>
      <c r="I241" s="9"/>
    </row>
    <row r="242" customFormat="false" ht="15" hidden="false" customHeight="false" outlineLevel="0" collapsed="false">
      <c r="A242" s="34"/>
      <c r="B242" s="9"/>
      <c r="C242" s="9"/>
      <c r="D242" s="9"/>
      <c r="E242" s="9"/>
      <c r="F242" s="9"/>
      <c r="G242" s="9"/>
      <c r="H242" s="35"/>
      <c r="I242" s="9"/>
    </row>
    <row r="243" customFormat="false" ht="15" hidden="false" customHeight="false" outlineLevel="0" collapsed="false">
      <c r="A243" s="34"/>
      <c r="B243" s="9"/>
      <c r="C243" s="9"/>
      <c r="D243" s="9"/>
      <c r="E243" s="9"/>
      <c r="F243" s="9"/>
      <c r="G243" s="9"/>
      <c r="H243" s="35"/>
      <c r="I243" s="9"/>
    </row>
    <row r="244" customFormat="false" ht="15" hidden="false" customHeight="false" outlineLevel="0" collapsed="false">
      <c r="A244" s="34"/>
      <c r="B244" s="9"/>
      <c r="C244" s="9"/>
      <c r="D244" s="9"/>
      <c r="E244" s="9"/>
      <c r="F244" s="9"/>
      <c r="G244" s="9"/>
      <c r="H244" s="35"/>
      <c r="I244" s="9"/>
    </row>
    <row r="245" customFormat="false" ht="15" hidden="false" customHeight="false" outlineLevel="0" collapsed="false">
      <c r="A245" s="34"/>
      <c r="B245" s="9"/>
      <c r="C245" s="9"/>
      <c r="D245" s="9"/>
      <c r="E245" s="9"/>
      <c r="F245" s="9"/>
      <c r="G245" s="9"/>
      <c r="H245" s="35"/>
      <c r="I245" s="9"/>
    </row>
    <row r="246" customFormat="false" ht="15" hidden="false" customHeight="false" outlineLevel="0" collapsed="false">
      <c r="A246" s="34"/>
      <c r="B246" s="9"/>
      <c r="C246" s="9"/>
      <c r="D246" s="9"/>
      <c r="E246" s="9"/>
      <c r="F246" s="9"/>
      <c r="G246" s="9"/>
      <c r="H246" s="35"/>
      <c r="I246" s="9"/>
    </row>
    <row r="247" customFormat="false" ht="15" hidden="false" customHeight="false" outlineLevel="0" collapsed="false">
      <c r="A247" s="34"/>
      <c r="B247" s="9"/>
      <c r="C247" s="9"/>
      <c r="D247" s="9"/>
      <c r="E247" s="9"/>
      <c r="F247" s="9"/>
      <c r="G247" s="9"/>
      <c r="H247" s="35"/>
      <c r="I247" s="9"/>
    </row>
    <row r="248" customFormat="false" ht="15" hidden="false" customHeight="false" outlineLevel="0" collapsed="false">
      <c r="A248" s="34"/>
      <c r="B248" s="9"/>
      <c r="C248" s="9"/>
      <c r="D248" s="9"/>
      <c r="E248" s="9"/>
      <c r="F248" s="9"/>
      <c r="G248" s="9"/>
      <c r="H248" s="35"/>
      <c r="I248" s="9"/>
    </row>
    <row r="249" customFormat="false" ht="15" hidden="false" customHeight="false" outlineLevel="0" collapsed="false">
      <c r="A249" s="34"/>
      <c r="B249" s="9"/>
      <c r="C249" s="9"/>
      <c r="D249" s="9"/>
      <c r="E249" s="9"/>
      <c r="F249" s="9"/>
      <c r="G249" s="9"/>
      <c r="H249" s="35"/>
      <c r="I249" s="9"/>
    </row>
    <row r="250" customFormat="false" ht="15" hidden="false" customHeight="false" outlineLevel="0" collapsed="false">
      <c r="A250" s="34"/>
      <c r="B250" s="9"/>
      <c r="C250" s="9"/>
      <c r="D250" s="9"/>
      <c r="E250" s="9"/>
      <c r="F250" s="9"/>
      <c r="G250" s="9"/>
      <c r="H250" s="35"/>
      <c r="I250" s="9"/>
    </row>
    <row r="251" customFormat="false" ht="15" hidden="false" customHeight="false" outlineLevel="0" collapsed="false">
      <c r="A251" s="34"/>
      <c r="B251" s="9"/>
      <c r="C251" s="9"/>
      <c r="D251" s="9"/>
      <c r="E251" s="9"/>
      <c r="F251" s="9"/>
      <c r="G251" s="9"/>
      <c r="H251" s="35"/>
      <c r="I251" s="9"/>
    </row>
    <row r="252" customFormat="false" ht="15" hidden="false" customHeight="false" outlineLevel="0" collapsed="false">
      <c r="A252" s="34"/>
      <c r="B252" s="9"/>
      <c r="C252" s="9"/>
      <c r="D252" s="9"/>
      <c r="E252" s="9"/>
      <c r="F252" s="9"/>
      <c r="G252" s="9"/>
      <c r="H252" s="35"/>
      <c r="I252" s="9"/>
    </row>
    <row r="253" customFormat="false" ht="15" hidden="false" customHeight="false" outlineLevel="0" collapsed="false">
      <c r="A253" s="34"/>
      <c r="B253" s="9"/>
      <c r="C253" s="9"/>
      <c r="D253" s="9"/>
      <c r="E253" s="9"/>
      <c r="F253" s="9"/>
      <c r="G253" s="9"/>
      <c r="H253" s="35"/>
      <c r="I253" s="9"/>
    </row>
    <row r="254" customFormat="false" ht="15" hidden="false" customHeight="false" outlineLevel="0" collapsed="false">
      <c r="A254" s="34"/>
      <c r="B254" s="9"/>
      <c r="C254" s="9"/>
      <c r="D254" s="9"/>
      <c r="E254" s="9"/>
      <c r="F254" s="9"/>
      <c r="G254" s="9"/>
      <c r="H254" s="35"/>
      <c r="I254" s="9"/>
    </row>
    <row r="255" customFormat="false" ht="15" hidden="false" customHeight="false" outlineLevel="0" collapsed="false">
      <c r="A255" s="34"/>
      <c r="B255" s="9"/>
      <c r="C255" s="9"/>
      <c r="D255" s="9"/>
      <c r="E255" s="9"/>
      <c r="F255" s="9"/>
      <c r="G255" s="9"/>
      <c r="H255" s="35"/>
      <c r="I255" s="9"/>
    </row>
    <row r="256" customFormat="false" ht="15" hidden="false" customHeight="false" outlineLevel="0" collapsed="false">
      <c r="A256" s="34"/>
      <c r="B256" s="9"/>
      <c r="C256" s="9"/>
      <c r="D256" s="9"/>
      <c r="E256" s="9"/>
      <c r="F256" s="9"/>
      <c r="G256" s="9"/>
      <c r="H256" s="35"/>
      <c r="I256" s="9"/>
    </row>
    <row r="257" customFormat="false" ht="15" hidden="false" customHeight="false" outlineLevel="0" collapsed="false">
      <c r="A257" s="34"/>
      <c r="B257" s="9"/>
      <c r="C257" s="9"/>
      <c r="D257" s="9"/>
      <c r="E257" s="9"/>
      <c r="F257" s="9"/>
      <c r="G257" s="9"/>
      <c r="H257" s="35"/>
      <c r="I257" s="9"/>
    </row>
    <row r="258" customFormat="false" ht="15" hidden="false" customHeight="false" outlineLevel="0" collapsed="false">
      <c r="A258" s="34"/>
      <c r="B258" s="9"/>
      <c r="C258" s="9"/>
      <c r="D258" s="9"/>
      <c r="E258" s="9"/>
      <c r="F258" s="9"/>
      <c r="G258" s="9"/>
      <c r="H258" s="35"/>
      <c r="I258" s="9"/>
    </row>
    <row r="259" customFormat="false" ht="15" hidden="false" customHeight="false" outlineLevel="0" collapsed="false">
      <c r="A259" s="34"/>
      <c r="B259" s="9"/>
      <c r="C259" s="9"/>
      <c r="D259" s="9"/>
      <c r="E259" s="9"/>
      <c r="F259" s="9"/>
      <c r="G259" s="9"/>
      <c r="H259" s="35"/>
      <c r="I259" s="9"/>
    </row>
    <row r="260" customFormat="false" ht="15" hidden="false" customHeight="false" outlineLevel="0" collapsed="false">
      <c r="A260" s="34"/>
      <c r="B260" s="9"/>
      <c r="C260" s="9"/>
      <c r="D260" s="9"/>
      <c r="E260" s="9"/>
      <c r="F260" s="9"/>
      <c r="G260" s="9"/>
      <c r="H260" s="35"/>
      <c r="I260" s="9"/>
    </row>
    <row r="261" customFormat="false" ht="15" hidden="false" customHeight="false" outlineLevel="0" collapsed="false">
      <c r="A261" s="34"/>
      <c r="B261" s="9"/>
      <c r="C261" s="9"/>
      <c r="D261" s="9"/>
      <c r="E261" s="9"/>
      <c r="F261" s="9"/>
      <c r="G261" s="9"/>
      <c r="H261" s="35"/>
      <c r="I261" s="9"/>
    </row>
    <row r="262" customFormat="false" ht="15" hidden="false" customHeight="false" outlineLevel="0" collapsed="false">
      <c r="A262" s="34"/>
      <c r="B262" s="9"/>
      <c r="C262" s="9"/>
      <c r="D262" s="9"/>
      <c r="E262" s="9"/>
      <c r="F262" s="9"/>
      <c r="G262" s="9"/>
      <c r="H262" s="35"/>
      <c r="I262" s="9"/>
    </row>
    <row r="263" customFormat="false" ht="15" hidden="false" customHeight="false" outlineLevel="0" collapsed="false">
      <c r="A263" s="34"/>
      <c r="B263" s="9"/>
      <c r="C263" s="9"/>
      <c r="D263" s="9"/>
      <c r="E263" s="9"/>
      <c r="F263" s="9"/>
      <c r="G263" s="9"/>
      <c r="H263" s="35"/>
      <c r="I263" s="9"/>
    </row>
    <row r="264" customFormat="false" ht="15" hidden="false" customHeight="false" outlineLevel="0" collapsed="false">
      <c r="A264" s="34"/>
      <c r="B264" s="9"/>
      <c r="C264" s="9"/>
      <c r="D264" s="9"/>
      <c r="E264" s="9"/>
      <c r="F264" s="9"/>
      <c r="G264" s="9"/>
      <c r="H264" s="35"/>
      <c r="I264" s="9"/>
    </row>
    <row r="265" customFormat="false" ht="15" hidden="false" customHeight="false" outlineLevel="0" collapsed="false">
      <c r="A265" s="34"/>
      <c r="B265" s="9"/>
      <c r="C265" s="9"/>
      <c r="D265" s="9"/>
      <c r="E265" s="9"/>
      <c r="F265" s="9"/>
      <c r="G265" s="9"/>
      <c r="H265" s="35"/>
      <c r="I265" s="9"/>
    </row>
    <row r="266" customFormat="false" ht="15" hidden="false" customHeight="false" outlineLevel="0" collapsed="false">
      <c r="A266" s="34"/>
      <c r="B266" s="9"/>
      <c r="C266" s="9"/>
      <c r="D266" s="9"/>
      <c r="E266" s="9"/>
      <c r="F266" s="9"/>
      <c r="G266" s="9"/>
      <c r="H266" s="35"/>
      <c r="I266" s="9"/>
    </row>
    <row r="267" customFormat="false" ht="15" hidden="false" customHeight="false" outlineLevel="0" collapsed="false">
      <c r="A267" s="34"/>
      <c r="B267" s="9"/>
      <c r="C267" s="9"/>
      <c r="D267" s="9"/>
      <c r="E267" s="9"/>
      <c r="F267" s="9"/>
      <c r="G267" s="9"/>
      <c r="H267" s="35"/>
      <c r="I267" s="9"/>
    </row>
    <row r="268" customFormat="false" ht="15" hidden="false" customHeight="false" outlineLevel="0" collapsed="false">
      <c r="A268" s="34"/>
      <c r="B268" s="9"/>
      <c r="C268" s="9"/>
      <c r="D268" s="9"/>
      <c r="E268" s="9"/>
      <c r="F268" s="9"/>
      <c r="G268" s="9"/>
      <c r="H268" s="35"/>
      <c r="I268" s="9"/>
    </row>
    <row r="269" customFormat="false" ht="15" hidden="false" customHeight="false" outlineLevel="0" collapsed="false">
      <c r="A269" s="34"/>
      <c r="B269" s="9"/>
      <c r="C269" s="9"/>
      <c r="D269" s="9"/>
      <c r="E269" s="9"/>
      <c r="F269" s="9"/>
      <c r="G269" s="9"/>
      <c r="H269" s="35"/>
      <c r="I269" s="9"/>
    </row>
    <row r="270" customFormat="false" ht="15" hidden="false" customHeight="false" outlineLevel="0" collapsed="false">
      <c r="A270" s="34"/>
      <c r="B270" s="9"/>
      <c r="C270" s="9"/>
      <c r="D270" s="9"/>
      <c r="E270" s="9"/>
      <c r="F270" s="9"/>
      <c r="G270" s="9"/>
      <c r="H270" s="35"/>
      <c r="I270" s="9"/>
    </row>
    <row r="271" customFormat="false" ht="15" hidden="false" customHeight="false" outlineLevel="0" collapsed="false">
      <c r="A271" s="34"/>
      <c r="B271" s="9"/>
      <c r="C271" s="9"/>
      <c r="D271" s="9"/>
      <c r="E271" s="9"/>
      <c r="F271" s="9"/>
      <c r="G271" s="9"/>
      <c r="H271" s="35"/>
      <c r="I271" s="9"/>
    </row>
    <row r="272" customFormat="false" ht="15" hidden="false" customHeight="false" outlineLevel="0" collapsed="false">
      <c r="A272" s="34"/>
      <c r="B272" s="9"/>
      <c r="C272" s="9"/>
      <c r="D272" s="9"/>
      <c r="E272" s="9"/>
      <c r="F272" s="9"/>
      <c r="G272" s="9"/>
      <c r="H272" s="35"/>
      <c r="I272" s="9"/>
    </row>
    <row r="273" customFormat="false" ht="15" hidden="false" customHeight="false" outlineLevel="0" collapsed="false">
      <c r="A273" s="34"/>
      <c r="B273" s="9"/>
      <c r="C273" s="9"/>
      <c r="D273" s="9"/>
      <c r="E273" s="9"/>
      <c r="F273" s="9"/>
      <c r="G273" s="9"/>
      <c r="H273" s="35"/>
      <c r="I273" s="9"/>
    </row>
    <row r="274" customFormat="false" ht="15" hidden="false" customHeight="false" outlineLevel="0" collapsed="false">
      <c r="A274" s="34"/>
      <c r="B274" s="9"/>
      <c r="C274" s="9"/>
      <c r="D274" s="9"/>
      <c r="E274" s="9"/>
      <c r="F274" s="9"/>
      <c r="G274" s="9"/>
      <c r="H274" s="35"/>
      <c r="I274" s="9"/>
    </row>
    <row r="275" customFormat="false" ht="15" hidden="false" customHeight="false" outlineLevel="0" collapsed="false">
      <c r="A275" s="34"/>
      <c r="B275" s="9"/>
      <c r="C275" s="9"/>
      <c r="D275" s="9"/>
      <c r="E275" s="9"/>
      <c r="F275" s="9"/>
      <c r="G275" s="9"/>
      <c r="H275" s="35"/>
      <c r="I275" s="9"/>
    </row>
    <row r="276" customFormat="false" ht="15" hidden="false" customHeight="false" outlineLevel="0" collapsed="false">
      <c r="A276" s="34"/>
      <c r="B276" s="9"/>
      <c r="C276" s="9"/>
      <c r="D276" s="9"/>
      <c r="E276" s="9"/>
      <c r="F276" s="9"/>
      <c r="G276" s="9"/>
      <c r="H276" s="35"/>
      <c r="I276" s="9"/>
    </row>
    <row r="277" customFormat="false" ht="15" hidden="false" customHeight="false" outlineLevel="0" collapsed="false">
      <c r="A277" s="34"/>
      <c r="B277" s="9"/>
      <c r="C277" s="9"/>
      <c r="D277" s="9"/>
      <c r="E277" s="9"/>
      <c r="F277" s="9"/>
      <c r="G277" s="9"/>
      <c r="H277" s="35"/>
      <c r="I277" s="9"/>
    </row>
    <row r="278" customFormat="false" ht="15" hidden="false" customHeight="false" outlineLevel="0" collapsed="false">
      <c r="A278" s="34"/>
      <c r="B278" s="9"/>
      <c r="C278" s="9"/>
      <c r="D278" s="9"/>
      <c r="E278" s="9"/>
      <c r="F278" s="9"/>
      <c r="G278" s="9"/>
      <c r="H278" s="35"/>
      <c r="I278" s="9"/>
    </row>
    <row r="279" customFormat="false" ht="15" hidden="false" customHeight="false" outlineLevel="0" collapsed="false">
      <c r="A279" s="34"/>
      <c r="B279" s="9"/>
      <c r="C279" s="9"/>
      <c r="D279" s="9"/>
      <c r="E279" s="9"/>
      <c r="F279" s="9"/>
      <c r="G279" s="9"/>
      <c r="H279" s="35"/>
      <c r="I279" s="9"/>
    </row>
    <row r="280" customFormat="false" ht="15" hidden="false" customHeight="false" outlineLevel="0" collapsed="false">
      <c r="A280" s="34"/>
      <c r="B280" s="9"/>
      <c r="C280" s="9"/>
      <c r="D280" s="9"/>
      <c r="E280" s="9"/>
      <c r="F280" s="9"/>
      <c r="G280" s="9"/>
      <c r="H280" s="35"/>
      <c r="I280" s="9"/>
    </row>
    <row r="281" customFormat="false" ht="15" hidden="false" customHeight="false" outlineLevel="0" collapsed="false">
      <c r="A281" s="34"/>
      <c r="B281" s="9"/>
      <c r="C281" s="9"/>
      <c r="D281" s="9"/>
      <c r="E281" s="9"/>
      <c r="F281" s="9"/>
      <c r="G281" s="9"/>
      <c r="H281" s="35"/>
      <c r="I281" s="9"/>
    </row>
    <row r="282" customFormat="false" ht="15" hidden="false" customHeight="false" outlineLevel="0" collapsed="false">
      <c r="A282" s="34"/>
      <c r="B282" s="9"/>
      <c r="C282" s="9"/>
      <c r="D282" s="9"/>
      <c r="E282" s="9"/>
      <c r="F282" s="9"/>
      <c r="G282" s="9"/>
      <c r="H282" s="35"/>
      <c r="I282" s="9"/>
    </row>
    <row r="283" customFormat="false" ht="15" hidden="false" customHeight="false" outlineLevel="0" collapsed="false">
      <c r="A283" s="34"/>
      <c r="B283" s="9"/>
      <c r="C283" s="9"/>
      <c r="D283" s="9"/>
      <c r="E283" s="9"/>
      <c r="F283" s="9"/>
      <c r="G283" s="9"/>
      <c r="H283" s="35"/>
      <c r="I283" s="9"/>
    </row>
    <row r="284" customFormat="false" ht="15" hidden="false" customHeight="false" outlineLevel="0" collapsed="false">
      <c r="A284" s="34"/>
      <c r="B284" s="9"/>
      <c r="C284" s="9"/>
      <c r="D284" s="9"/>
      <c r="E284" s="9"/>
      <c r="F284" s="9"/>
      <c r="G284" s="9"/>
      <c r="H284" s="35"/>
      <c r="I284" s="9"/>
    </row>
    <row r="285" customFormat="false" ht="15" hidden="false" customHeight="false" outlineLevel="0" collapsed="false">
      <c r="A285" s="34"/>
      <c r="B285" s="9"/>
      <c r="C285" s="9"/>
      <c r="D285" s="9"/>
      <c r="E285" s="9"/>
      <c r="F285" s="9"/>
      <c r="G285" s="9"/>
      <c r="H285" s="35"/>
      <c r="I285" s="9"/>
    </row>
    <row r="286" customFormat="false" ht="15" hidden="false" customHeight="false" outlineLevel="0" collapsed="false">
      <c r="A286" s="34"/>
      <c r="B286" s="9"/>
      <c r="C286" s="9"/>
      <c r="D286" s="9"/>
      <c r="E286" s="9"/>
      <c r="F286" s="9"/>
      <c r="G286" s="9"/>
      <c r="H286" s="35"/>
      <c r="I286" s="9"/>
    </row>
    <row r="287" customFormat="false" ht="15" hidden="false" customHeight="false" outlineLevel="0" collapsed="false">
      <c r="A287" s="34"/>
      <c r="B287" s="9"/>
      <c r="C287" s="9"/>
      <c r="D287" s="9"/>
      <c r="E287" s="9"/>
      <c r="F287" s="9"/>
      <c r="G287" s="9"/>
      <c r="H287" s="35"/>
      <c r="I287" s="9"/>
    </row>
    <row r="288" customFormat="false" ht="15" hidden="false" customHeight="false" outlineLevel="0" collapsed="false">
      <c r="A288" s="34"/>
      <c r="B288" s="9"/>
      <c r="C288" s="9"/>
      <c r="D288" s="9"/>
      <c r="E288" s="9"/>
      <c r="F288" s="9"/>
      <c r="G288" s="9"/>
      <c r="H288" s="35"/>
      <c r="I288" s="9"/>
    </row>
    <row r="289" customFormat="false" ht="15" hidden="false" customHeight="false" outlineLevel="0" collapsed="false">
      <c r="A289" s="34"/>
      <c r="B289" s="9"/>
      <c r="C289" s="9"/>
      <c r="D289" s="9"/>
      <c r="E289" s="9"/>
      <c r="F289" s="9"/>
      <c r="G289" s="9"/>
      <c r="H289" s="35"/>
      <c r="I289" s="9"/>
    </row>
    <row r="290" customFormat="false" ht="15" hidden="false" customHeight="false" outlineLevel="0" collapsed="false">
      <c r="A290" s="34"/>
      <c r="B290" s="9"/>
      <c r="C290" s="9"/>
      <c r="D290" s="9"/>
      <c r="E290" s="9"/>
      <c r="F290" s="9"/>
      <c r="G290" s="9"/>
      <c r="H290" s="35"/>
      <c r="I290" s="9"/>
    </row>
    <row r="291" customFormat="false" ht="15" hidden="false" customHeight="false" outlineLevel="0" collapsed="false">
      <c r="A291" s="34"/>
      <c r="B291" s="9"/>
      <c r="C291" s="9"/>
      <c r="D291" s="9"/>
      <c r="E291" s="9"/>
      <c r="F291" s="9"/>
      <c r="G291" s="9"/>
      <c r="H291" s="35"/>
      <c r="I291" s="9"/>
    </row>
    <row r="292" customFormat="false" ht="15" hidden="false" customHeight="false" outlineLevel="0" collapsed="false">
      <c r="A292" s="34"/>
      <c r="B292" s="9"/>
      <c r="C292" s="9"/>
      <c r="D292" s="9"/>
      <c r="E292" s="9"/>
      <c r="F292" s="9"/>
      <c r="G292" s="9"/>
      <c r="H292" s="35"/>
      <c r="I292" s="9"/>
    </row>
    <row r="293" customFormat="false" ht="15" hidden="false" customHeight="false" outlineLevel="0" collapsed="false">
      <c r="A293" s="34"/>
      <c r="B293" s="9"/>
      <c r="C293" s="9"/>
      <c r="D293" s="9"/>
      <c r="E293" s="9"/>
      <c r="F293" s="9"/>
      <c r="G293" s="9"/>
      <c r="H293" s="35"/>
      <c r="I293" s="9"/>
    </row>
    <row r="294" customFormat="false" ht="15" hidden="false" customHeight="false" outlineLevel="0" collapsed="false">
      <c r="A294" s="34"/>
      <c r="B294" s="9"/>
      <c r="C294" s="9"/>
      <c r="D294" s="9"/>
      <c r="E294" s="9"/>
      <c r="F294" s="9"/>
      <c r="G294" s="9"/>
      <c r="H294" s="35"/>
      <c r="I294" s="9"/>
    </row>
    <row r="295" customFormat="false" ht="15" hidden="false" customHeight="false" outlineLevel="0" collapsed="false">
      <c r="A295" s="34"/>
      <c r="B295" s="9"/>
      <c r="C295" s="9"/>
      <c r="D295" s="9"/>
      <c r="E295" s="9"/>
      <c r="F295" s="9"/>
      <c r="G295" s="9"/>
      <c r="H295" s="35"/>
      <c r="I295" s="9"/>
    </row>
    <row r="296" customFormat="false" ht="15" hidden="false" customHeight="false" outlineLevel="0" collapsed="false">
      <c r="A296" s="34"/>
      <c r="B296" s="9"/>
      <c r="C296" s="9"/>
      <c r="D296" s="9"/>
      <c r="E296" s="9"/>
      <c r="F296" s="9"/>
      <c r="G296" s="9"/>
      <c r="H296" s="35"/>
      <c r="I296" s="9"/>
    </row>
    <row r="297" customFormat="false" ht="15" hidden="false" customHeight="false" outlineLevel="0" collapsed="false">
      <c r="A297" s="34"/>
      <c r="B297" s="9"/>
      <c r="C297" s="9"/>
      <c r="D297" s="9"/>
      <c r="E297" s="9"/>
      <c r="F297" s="9"/>
      <c r="G297" s="9"/>
      <c r="H297" s="35"/>
      <c r="I297" s="9"/>
    </row>
    <row r="298" customFormat="false" ht="15" hidden="false" customHeight="false" outlineLevel="0" collapsed="false">
      <c r="A298" s="34"/>
      <c r="B298" s="9"/>
      <c r="C298" s="9"/>
      <c r="D298" s="9"/>
      <c r="E298" s="9"/>
      <c r="F298" s="9"/>
      <c r="G298" s="9"/>
      <c r="H298" s="35"/>
      <c r="I298" s="9"/>
    </row>
    <row r="299" customFormat="false" ht="15" hidden="false" customHeight="false" outlineLevel="0" collapsed="false">
      <c r="A299" s="34"/>
      <c r="B299" s="9"/>
      <c r="C299" s="9"/>
      <c r="D299" s="9"/>
      <c r="E299" s="9"/>
      <c r="F299" s="9"/>
      <c r="G299" s="9"/>
      <c r="H299" s="35"/>
      <c r="I299" s="9"/>
    </row>
    <row r="300" customFormat="false" ht="15" hidden="false" customHeight="false" outlineLevel="0" collapsed="false">
      <c r="A300" s="34"/>
      <c r="B300" s="9"/>
      <c r="C300" s="9"/>
      <c r="D300" s="9"/>
      <c r="E300" s="9"/>
      <c r="F300" s="9"/>
      <c r="G300" s="9"/>
      <c r="H300" s="35"/>
      <c r="I300" s="9"/>
    </row>
    <row r="301" customFormat="false" ht="15" hidden="false" customHeight="false" outlineLevel="0" collapsed="false">
      <c r="A301" s="34"/>
      <c r="B301" s="9"/>
      <c r="C301" s="9"/>
      <c r="D301" s="9"/>
      <c r="E301" s="9"/>
      <c r="F301" s="9"/>
      <c r="G301" s="9"/>
      <c r="H301" s="35"/>
      <c r="I301" s="9"/>
    </row>
    <row r="302" customFormat="false" ht="15" hidden="false" customHeight="false" outlineLevel="0" collapsed="false">
      <c r="A302" s="34"/>
      <c r="B302" s="9"/>
      <c r="C302" s="9"/>
      <c r="D302" s="9"/>
      <c r="E302" s="9"/>
      <c r="F302" s="9"/>
      <c r="G302" s="9"/>
      <c r="H302" s="35"/>
      <c r="I302" s="9"/>
    </row>
    <row r="303" customFormat="false" ht="15" hidden="false" customHeight="false" outlineLevel="0" collapsed="false">
      <c r="A303" s="34"/>
      <c r="B303" s="9"/>
      <c r="C303" s="9"/>
      <c r="D303" s="9"/>
      <c r="E303" s="9"/>
      <c r="F303" s="9"/>
      <c r="G303" s="9"/>
      <c r="H303" s="35"/>
      <c r="I303" s="9"/>
    </row>
    <row r="304" customFormat="false" ht="15" hidden="false" customHeight="false" outlineLevel="0" collapsed="false">
      <c r="A304" s="34"/>
      <c r="B304" s="9"/>
      <c r="C304" s="9"/>
      <c r="D304" s="9"/>
      <c r="E304" s="9"/>
      <c r="F304" s="9"/>
      <c r="G304" s="9"/>
      <c r="H304" s="35"/>
      <c r="I304" s="9"/>
    </row>
    <row r="305" customFormat="false" ht="15" hidden="false" customHeight="false" outlineLevel="0" collapsed="false">
      <c r="A305" s="34"/>
      <c r="B305" s="9"/>
      <c r="C305" s="9"/>
      <c r="D305" s="9"/>
      <c r="E305" s="9"/>
      <c r="F305" s="9"/>
      <c r="G305" s="9"/>
      <c r="H305" s="35"/>
      <c r="I305" s="9"/>
    </row>
    <row r="306" customFormat="false" ht="15" hidden="false" customHeight="false" outlineLevel="0" collapsed="false">
      <c r="A306" s="34"/>
      <c r="B306" s="9"/>
      <c r="C306" s="9"/>
      <c r="D306" s="9"/>
      <c r="E306" s="9"/>
      <c r="F306" s="9"/>
      <c r="G306" s="9"/>
      <c r="H306" s="35"/>
      <c r="I306" s="9"/>
    </row>
    <row r="307" customFormat="false" ht="15" hidden="false" customHeight="false" outlineLevel="0" collapsed="false">
      <c r="A307" s="34"/>
      <c r="B307" s="9"/>
      <c r="C307" s="9"/>
      <c r="D307" s="9"/>
      <c r="E307" s="9"/>
      <c r="F307" s="9"/>
      <c r="G307" s="9"/>
      <c r="H307" s="35"/>
      <c r="I307" s="9"/>
    </row>
    <row r="308" customFormat="false" ht="15" hidden="false" customHeight="false" outlineLevel="0" collapsed="false">
      <c r="A308" s="34"/>
      <c r="B308" s="9"/>
      <c r="C308" s="9"/>
      <c r="D308" s="9"/>
      <c r="E308" s="9"/>
      <c r="F308" s="9"/>
      <c r="G308" s="9"/>
      <c r="H308" s="35"/>
      <c r="I308" s="9"/>
    </row>
    <row r="309" customFormat="false" ht="15" hidden="false" customHeight="false" outlineLevel="0" collapsed="false">
      <c r="A309" s="34"/>
      <c r="B309" s="9"/>
      <c r="C309" s="9"/>
      <c r="D309" s="9"/>
      <c r="E309" s="9"/>
      <c r="F309" s="9"/>
      <c r="G309" s="9"/>
      <c r="H309" s="35"/>
      <c r="I309" s="9"/>
    </row>
    <row r="310" customFormat="false" ht="15" hidden="false" customHeight="false" outlineLevel="0" collapsed="false">
      <c r="A310" s="34"/>
      <c r="B310" s="9"/>
      <c r="C310" s="9"/>
      <c r="D310" s="9"/>
      <c r="E310" s="9"/>
      <c r="F310" s="9"/>
      <c r="G310" s="9"/>
      <c r="H310" s="35"/>
      <c r="I310" s="9"/>
    </row>
    <row r="311" customFormat="false" ht="15" hidden="false" customHeight="false" outlineLevel="0" collapsed="false">
      <c r="A311" s="34"/>
      <c r="B311" s="9"/>
      <c r="C311" s="9"/>
      <c r="D311" s="9"/>
      <c r="E311" s="9"/>
      <c r="F311" s="9"/>
      <c r="G311" s="9"/>
      <c r="H311" s="35"/>
      <c r="I311" s="9"/>
    </row>
    <row r="312" customFormat="false" ht="15" hidden="false" customHeight="false" outlineLevel="0" collapsed="false">
      <c r="A312" s="34"/>
      <c r="B312" s="9"/>
      <c r="C312" s="9"/>
      <c r="D312" s="9"/>
      <c r="E312" s="9"/>
      <c r="F312" s="9"/>
      <c r="G312" s="9"/>
      <c r="H312" s="35"/>
      <c r="I312" s="9"/>
    </row>
    <row r="313" customFormat="false" ht="15" hidden="false" customHeight="false" outlineLevel="0" collapsed="false">
      <c r="A313" s="34"/>
      <c r="B313" s="9"/>
      <c r="C313" s="9"/>
      <c r="D313" s="9"/>
      <c r="E313" s="9"/>
      <c r="F313" s="9"/>
      <c r="G313" s="9"/>
      <c r="H313" s="35"/>
      <c r="I313" s="9"/>
    </row>
    <row r="314" customFormat="false" ht="15" hidden="false" customHeight="false" outlineLevel="0" collapsed="false">
      <c r="A314" s="34"/>
      <c r="B314" s="9"/>
      <c r="C314" s="9"/>
      <c r="D314" s="9"/>
      <c r="E314" s="9"/>
      <c r="F314" s="9"/>
      <c r="G314" s="9"/>
      <c r="H314" s="35"/>
      <c r="I314" s="9"/>
    </row>
    <row r="315" customFormat="false" ht="15" hidden="false" customHeight="false" outlineLevel="0" collapsed="false">
      <c r="A315" s="34"/>
      <c r="B315" s="9"/>
      <c r="C315" s="9"/>
      <c r="D315" s="9"/>
      <c r="E315" s="9"/>
      <c r="F315" s="9"/>
      <c r="G315" s="9"/>
      <c r="H315" s="35"/>
      <c r="I315" s="9"/>
    </row>
    <row r="316" customFormat="false" ht="15" hidden="false" customHeight="false" outlineLevel="0" collapsed="false">
      <c r="A316" s="34"/>
      <c r="B316" s="9"/>
      <c r="C316" s="9"/>
      <c r="D316" s="9"/>
      <c r="E316" s="9"/>
      <c r="F316" s="9"/>
      <c r="G316" s="9"/>
      <c r="H316" s="35"/>
      <c r="I316" s="9"/>
    </row>
    <row r="317" customFormat="false" ht="15" hidden="false" customHeight="false" outlineLevel="0" collapsed="false">
      <c r="A317" s="34"/>
      <c r="B317" s="9"/>
      <c r="C317" s="9"/>
      <c r="D317" s="9"/>
      <c r="E317" s="9"/>
      <c r="F317" s="9"/>
      <c r="G317" s="9"/>
      <c r="H317" s="35"/>
      <c r="I317" s="9"/>
    </row>
    <row r="318" customFormat="false" ht="15" hidden="false" customHeight="false" outlineLevel="0" collapsed="false">
      <c r="A318" s="34"/>
      <c r="B318" s="9"/>
      <c r="C318" s="9"/>
      <c r="D318" s="9"/>
      <c r="E318" s="9"/>
      <c r="F318" s="9"/>
      <c r="G318" s="9"/>
      <c r="H318" s="35"/>
      <c r="I318" s="9"/>
    </row>
    <row r="319" customFormat="false" ht="15" hidden="false" customHeight="false" outlineLevel="0" collapsed="false">
      <c r="A319" s="34"/>
      <c r="B319" s="9"/>
      <c r="C319" s="9"/>
      <c r="D319" s="9"/>
      <c r="E319" s="9"/>
      <c r="F319" s="9"/>
      <c r="G319" s="9"/>
      <c r="H319" s="35"/>
      <c r="I319" s="9"/>
    </row>
    <row r="320" customFormat="false" ht="15" hidden="false" customHeight="false" outlineLevel="0" collapsed="false">
      <c r="A320" s="34"/>
      <c r="B320" s="9"/>
      <c r="C320" s="9"/>
      <c r="D320" s="9"/>
      <c r="E320" s="9"/>
      <c r="F320" s="9"/>
      <c r="G320" s="9"/>
      <c r="H320" s="35"/>
      <c r="I320" s="9"/>
    </row>
    <row r="321" customFormat="false" ht="15" hidden="false" customHeight="false" outlineLevel="0" collapsed="false">
      <c r="A321" s="34"/>
      <c r="B321" s="9"/>
      <c r="C321" s="9"/>
      <c r="D321" s="9"/>
      <c r="E321" s="9"/>
      <c r="F321" s="9"/>
      <c r="G321" s="9"/>
      <c r="H321" s="35"/>
      <c r="I321" s="9"/>
    </row>
    <row r="322" customFormat="false" ht="15" hidden="false" customHeight="false" outlineLevel="0" collapsed="false">
      <c r="A322" s="34"/>
      <c r="B322" s="9"/>
      <c r="C322" s="9"/>
      <c r="D322" s="9"/>
      <c r="E322" s="9"/>
      <c r="F322" s="9"/>
      <c r="G322" s="9"/>
      <c r="H322" s="35"/>
      <c r="I322" s="9"/>
    </row>
    <row r="323" customFormat="false" ht="15" hidden="false" customHeight="false" outlineLevel="0" collapsed="false">
      <c r="A323" s="34"/>
      <c r="B323" s="9"/>
      <c r="C323" s="9"/>
      <c r="D323" s="9"/>
      <c r="E323" s="9"/>
      <c r="F323" s="9"/>
      <c r="G323" s="9"/>
      <c r="H323" s="35"/>
      <c r="I323" s="9"/>
    </row>
    <row r="324" customFormat="false" ht="15" hidden="false" customHeight="false" outlineLevel="0" collapsed="false">
      <c r="A324" s="34"/>
      <c r="B324" s="9"/>
      <c r="C324" s="9"/>
      <c r="D324" s="9"/>
      <c r="E324" s="9"/>
      <c r="F324" s="9"/>
      <c r="G324" s="9"/>
      <c r="H324" s="35"/>
      <c r="I324" s="9"/>
    </row>
    <row r="325" customFormat="false" ht="15" hidden="false" customHeight="false" outlineLevel="0" collapsed="false">
      <c r="A325" s="34"/>
      <c r="B325" s="9"/>
      <c r="C325" s="9"/>
      <c r="D325" s="9"/>
      <c r="E325" s="9"/>
      <c r="F325" s="9"/>
      <c r="G325" s="9"/>
      <c r="H325" s="35"/>
      <c r="I325" s="9"/>
    </row>
    <row r="326" customFormat="false" ht="15" hidden="false" customHeight="false" outlineLevel="0" collapsed="false">
      <c r="A326" s="34"/>
      <c r="B326" s="9"/>
      <c r="C326" s="9"/>
      <c r="D326" s="9"/>
      <c r="E326" s="9"/>
      <c r="F326" s="9"/>
      <c r="G326" s="9"/>
      <c r="H326" s="35"/>
      <c r="I326" s="9"/>
    </row>
    <row r="327" customFormat="false" ht="15" hidden="false" customHeight="false" outlineLevel="0" collapsed="false">
      <c r="A327" s="34"/>
      <c r="B327" s="9"/>
      <c r="C327" s="9"/>
      <c r="D327" s="9"/>
      <c r="E327" s="9"/>
      <c r="F327" s="9"/>
      <c r="G327" s="9"/>
      <c r="H327" s="35"/>
      <c r="I327" s="9"/>
    </row>
    <row r="328" customFormat="false" ht="15" hidden="false" customHeight="false" outlineLevel="0" collapsed="false">
      <c r="A328" s="34"/>
      <c r="B328" s="9"/>
      <c r="C328" s="9"/>
      <c r="D328" s="9"/>
      <c r="E328" s="9"/>
      <c r="F328" s="9"/>
      <c r="G328" s="9"/>
      <c r="H328" s="35"/>
      <c r="I328" s="9"/>
    </row>
    <row r="329" customFormat="false" ht="15" hidden="false" customHeight="false" outlineLevel="0" collapsed="false">
      <c r="A329" s="34"/>
      <c r="B329" s="9"/>
      <c r="C329" s="9"/>
      <c r="D329" s="9"/>
      <c r="E329" s="9"/>
      <c r="F329" s="9"/>
      <c r="G329" s="9"/>
      <c r="H329" s="35"/>
      <c r="I329" s="9"/>
    </row>
    <row r="330" customFormat="false" ht="15" hidden="false" customHeight="false" outlineLevel="0" collapsed="false">
      <c r="A330" s="34"/>
      <c r="B330" s="9"/>
      <c r="C330" s="9"/>
      <c r="D330" s="9"/>
      <c r="E330" s="9"/>
      <c r="F330" s="9"/>
      <c r="G330" s="9"/>
      <c r="H330" s="35"/>
      <c r="I330" s="9"/>
    </row>
    <row r="331" customFormat="false" ht="15" hidden="false" customHeight="false" outlineLevel="0" collapsed="false">
      <c r="A331" s="34"/>
      <c r="B331" s="9"/>
      <c r="C331" s="9"/>
      <c r="D331" s="9"/>
      <c r="E331" s="9"/>
      <c r="F331" s="9"/>
      <c r="G331" s="9"/>
      <c r="H331" s="35"/>
      <c r="I331" s="9"/>
    </row>
    <row r="332" customFormat="false" ht="15" hidden="false" customHeight="false" outlineLevel="0" collapsed="false">
      <c r="A332" s="34"/>
      <c r="B332" s="9"/>
      <c r="C332" s="9"/>
      <c r="D332" s="9"/>
      <c r="E332" s="9"/>
      <c r="F332" s="9"/>
      <c r="G332" s="9"/>
      <c r="H332" s="35"/>
      <c r="I332" s="9"/>
    </row>
    <row r="333" customFormat="false" ht="15" hidden="false" customHeight="false" outlineLevel="0" collapsed="false">
      <c r="A333" s="34"/>
      <c r="B333" s="9"/>
      <c r="C333" s="9"/>
      <c r="D333" s="9"/>
      <c r="E333" s="9"/>
      <c r="F333" s="9"/>
      <c r="G333" s="9"/>
      <c r="H333" s="35"/>
      <c r="I333" s="9"/>
    </row>
    <row r="334" customFormat="false" ht="15" hidden="false" customHeight="false" outlineLevel="0" collapsed="false">
      <c r="A334" s="34"/>
      <c r="B334" s="9"/>
      <c r="C334" s="9"/>
      <c r="D334" s="9"/>
      <c r="E334" s="9"/>
      <c r="F334" s="9"/>
      <c r="G334" s="9"/>
      <c r="H334" s="35"/>
      <c r="I334" s="9"/>
    </row>
    <row r="335" customFormat="false" ht="15" hidden="false" customHeight="false" outlineLevel="0" collapsed="false">
      <c r="A335" s="34"/>
      <c r="B335" s="9"/>
      <c r="C335" s="9"/>
      <c r="D335" s="9"/>
      <c r="E335" s="9"/>
      <c r="F335" s="9"/>
      <c r="G335" s="9"/>
      <c r="H335" s="35"/>
      <c r="I335" s="9"/>
    </row>
    <row r="336" customFormat="false" ht="15" hidden="false" customHeight="false" outlineLevel="0" collapsed="false">
      <c r="A336" s="34"/>
      <c r="B336" s="9"/>
      <c r="C336" s="9"/>
      <c r="D336" s="9"/>
      <c r="E336" s="9"/>
      <c r="F336" s="9"/>
      <c r="G336" s="9"/>
      <c r="H336" s="35"/>
      <c r="I336" s="9"/>
    </row>
    <row r="337" customFormat="false" ht="15" hidden="false" customHeight="false" outlineLevel="0" collapsed="false">
      <c r="A337" s="34"/>
      <c r="B337" s="9"/>
      <c r="C337" s="9"/>
      <c r="D337" s="9"/>
      <c r="E337" s="9"/>
      <c r="F337" s="9"/>
      <c r="G337" s="9"/>
      <c r="H337" s="35"/>
      <c r="I337" s="9"/>
    </row>
    <row r="338" customFormat="false" ht="15" hidden="false" customHeight="false" outlineLevel="0" collapsed="false">
      <c r="A338" s="34"/>
      <c r="B338" s="9"/>
      <c r="C338" s="9"/>
      <c r="D338" s="9"/>
      <c r="E338" s="9"/>
      <c r="F338" s="9"/>
      <c r="G338" s="9"/>
      <c r="H338" s="35"/>
      <c r="I338" s="9"/>
    </row>
    <row r="339" customFormat="false" ht="15" hidden="false" customHeight="false" outlineLevel="0" collapsed="false">
      <c r="A339" s="34"/>
      <c r="B339" s="9"/>
      <c r="C339" s="9"/>
      <c r="D339" s="9"/>
      <c r="E339" s="9"/>
      <c r="F339" s="9"/>
      <c r="G339" s="9"/>
      <c r="H339" s="35"/>
      <c r="I339" s="9"/>
    </row>
    <row r="340" customFormat="false" ht="15" hidden="false" customHeight="false" outlineLevel="0" collapsed="false">
      <c r="A340" s="34"/>
      <c r="B340" s="9"/>
      <c r="C340" s="9"/>
      <c r="D340" s="9"/>
      <c r="E340" s="9"/>
      <c r="F340" s="9"/>
      <c r="G340" s="9"/>
      <c r="H340" s="35"/>
      <c r="I340" s="9"/>
    </row>
    <row r="341" customFormat="false" ht="15" hidden="false" customHeight="false" outlineLevel="0" collapsed="false">
      <c r="A341" s="34"/>
      <c r="B341" s="9"/>
      <c r="C341" s="9"/>
      <c r="D341" s="9"/>
      <c r="E341" s="9"/>
      <c r="F341" s="9"/>
      <c r="G341" s="9"/>
      <c r="H341" s="35"/>
      <c r="I341" s="9"/>
    </row>
    <row r="342" customFormat="false" ht="15" hidden="false" customHeight="false" outlineLevel="0" collapsed="false">
      <c r="A342" s="34"/>
      <c r="B342" s="9"/>
      <c r="C342" s="9"/>
      <c r="D342" s="9"/>
      <c r="E342" s="9"/>
      <c r="F342" s="9"/>
      <c r="G342" s="9"/>
      <c r="H342" s="35"/>
      <c r="I342" s="9"/>
    </row>
    <row r="343" customFormat="false" ht="15" hidden="false" customHeight="false" outlineLevel="0" collapsed="false">
      <c r="A343" s="34"/>
      <c r="B343" s="9"/>
      <c r="C343" s="9"/>
      <c r="D343" s="9"/>
      <c r="E343" s="9"/>
      <c r="F343" s="9"/>
      <c r="G343" s="9"/>
      <c r="H343" s="35"/>
      <c r="I343" s="9"/>
    </row>
    <row r="344" customFormat="false" ht="15" hidden="false" customHeight="false" outlineLevel="0" collapsed="false">
      <c r="A344" s="34"/>
      <c r="B344" s="9"/>
      <c r="C344" s="9"/>
      <c r="D344" s="9"/>
      <c r="E344" s="9"/>
      <c r="F344" s="9"/>
      <c r="G344" s="9"/>
      <c r="H344" s="35"/>
      <c r="I344" s="9"/>
    </row>
    <row r="345" customFormat="false" ht="15" hidden="false" customHeight="false" outlineLevel="0" collapsed="false">
      <c r="A345" s="34"/>
      <c r="B345" s="9"/>
      <c r="C345" s="9"/>
      <c r="D345" s="9"/>
      <c r="E345" s="9"/>
      <c r="F345" s="9"/>
      <c r="G345" s="9"/>
      <c r="H345" s="35"/>
      <c r="I345" s="9"/>
    </row>
    <row r="346" customFormat="false" ht="15" hidden="false" customHeight="false" outlineLevel="0" collapsed="false">
      <c r="A346" s="34"/>
      <c r="B346" s="9"/>
      <c r="C346" s="9"/>
      <c r="D346" s="9"/>
      <c r="E346" s="9"/>
      <c r="F346" s="9"/>
      <c r="G346" s="9"/>
      <c r="H346" s="35"/>
      <c r="I346" s="9"/>
    </row>
    <row r="347" customFormat="false" ht="15" hidden="false" customHeight="false" outlineLevel="0" collapsed="false">
      <c r="A347" s="34"/>
      <c r="B347" s="9"/>
      <c r="C347" s="9"/>
      <c r="D347" s="9"/>
      <c r="E347" s="9"/>
      <c r="F347" s="9"/>
      <c r="G347" s="9"/>
      <c r="H347" s="35"/>
      <c r="I347" s="9"/>
    </row>
    <row r="348" customFormat="false" ht="15" hidden="false" customHeight="false" outlineLevel="0" collapsed="false">
      <c r="A348" s="34"/>
      <c r="B348" s="9"/>
      <c r="C348" s="9"/>
      <c r="D348" s="9"/>
      <c r="E348" s="9"/>
      <c r="F348" s="9"/>
      <c r="G348" s="9"/>
      <c r="H348" s="35"/>
      <c r="I348" s="9"/>
    </row>
    <row r="349" customFormat="false" ht="15" hidden="false" customHeight="false" outlineLevel="0" collapsed="false">
      <c r="A349" s="34"/>
      <c r="B349" s="9"/>
      <c r="C349" s="9"/>
      <c r="D349" s="9"/>
      <c r="E349" s="9"/>
      <c r="F349" s="9"/>
      <c r="G349" s="9"/>
      <c r="H349" s="35"/>
      <c r="I349" s="9"/>
    </row>
    <row r="350" customFormat="false" ht="15" hidden="false" customHeight="false" outlineLevel="0" collapsed="false">
      <c r="A350" s="34"/>
      <c r="B350" s="9"/>
      <c r="C350" s="9"/>
      <c r="D350" s="9"/>
      <c r="E350" s="9"/>
      <c r="F350" s="9"/>
      <c r="G350" s="9"/>
      <c r="H350" s="35"/>
      <c r="I350" s="9"/>
    </row>
    <row r="351" customFormat="false" ht="15" hidden="false" customHeight="false" outlineLevel="0" collapsed="false">
      <c r="A351" s="34"/>
      <c r="B351" s="9"/>
      <c r="C351" s="9"/>
      <c r="D351" s="9"/>
      <c r="E351" s="9"/>
      <c r="F351" s="9"/>
      <c r="G351" s="9"/>
      <c r="H351" s="35"/>
      <c r="I351" s="9"/>
    </row>
    <row r="352" customFormat="false" ht="15" hidden="false" customHeight="false" outlineLevel="0" collapsed="false">
      <c r="A352" s="34"/>
      <c r="B352" s="9"/>
      <c r="C352" s="9"/>
      <c r="D352" s="9"/>
      <c r="E352" s="9"/>
      <c r="F352" s="9"/>
      <c r="G352" s="9"/>
      <c r="H352" s="35"/>
      <c r="I352" s="9"/>
    </row>
    <row r="353" customFormat="false" ht="15" hidden="false" customHeight="false" outlineLevel="0" collapsed="false">
      <c r="A353" s="34"/>
      <c r="B353" s="9"/>
      <c r="C353" s="9"/>
      <c r="D353" s="9"/>
      <c r="E353" s="9"/>
      <c r="F353" s="9"/>
      <c r="G353" s="9"/>
      <c r="H353" s="35"/>
      <c r="I353" s="9"/>
    </row>
    <row r="354" customFormat="false" ht="15" hidden="false" customHeight="false" outlineLevel="0" collapsed="false">
      <c r="A354" s="34"/>
      <c r="B354" s="9"/>
      <c r="C354" s="9"/>
      <c r="D354" s="9"/>
      <c r="E354" s="9"/>
      <c r="F354" s="9"/>
      <c r="G354" s="9"/>
      <c r="H354" s="35"/>
      <c r="I354" s="9"/>
    </row>
    <row r="355" customFormat="false" ht="15" hidden="false" customHeight="false" outlineLevel="0" collapsed="false">
      <c r="A355" s="34"/>
      <c r="B355" s="9"/>
      <c r="C355" s="9"/>
      <c r="D355" s="9"/>
      <c r="E355" s="9"/>
      <c r="F355" s="9"/>
      <c r="G355" s="9"/>
      <c r="H355" s="35"/>
      <c r="I355" s="9"/>
    </row>
    <row r="356" customFormat="false" ht="15" hidden="false" customHeight="false" outlineLevel="0" collapsed="false">
      <c r="A356" s="34"/>
      <c r="B356" s="9"/>
      <c r="C356" s="9"/>
      <c r="D356" s="9"/>
      <c r="E356" s="9"/>
      <c r="F356" s="9"/>
      <c r="G356" s="9"/>
      <c r="H356" s="35"/>
      <c r="I356" s="9"/>
    </row>
    <row r="357" customFormat="false" ht="15" hidden="false" customHeight="false" outlineLevel="0" collapsed="false">
      <c r="A357" s="34"/>
      <c r="B357" s="9"/>
      <c r="C357" s="9"/>
      <c r="D357" s="9"/>
      <c r="E357" s="9"/>
      <c r="F357" s="9"/>
      <c r="G357" s="9"/>
      <c r="H357" s="35"/>
      <c r="I357" s="9"/>
    </row>
    <row r="358" customFormat="false" ht="15" hidden="false" customHeight="false" outlineLevel="0" collapsed="false">
      <c r="A358" s="34"/>
      <c r="B358" s="9"/>
      <c r="C358" s="9"/>
      <c r="D358" s="9"/>
      <c r="E358" s="9"/>
      <c r="F358" s="9"/>
      <c r="G358" s="9"/>
      <c r="H358" s="35"/>
      <c r="I358" s="9"/>
    </row>
    <row r="359" customFormat="false" ht="15" hidden="false" customHeight="false" outlineLevel="0" collapsed="false">
      <c r="A359" s="34"/>
      <c r="B359" s="9"/>
      <c r="C359" s="9"/>
      <c r="D359" s="9"/>
      <c r="E359" s="9"/>
      <c r="F359" s="9"/>
      <c r="G359" s="9"/>
      <c r="H359" s="35"/>
      <c r="I359" s="9"/>
    </row>
    <row r="360" customFormat="false" ht="15" hidden="false" customHeight="false" outlineLevel="0" collapsed="false">
      <c r="A360" s="34"/>
      <c r="B360" s="9"/>
      <c r="C360" s="9"/>
      <c r="D360" s="9"/>
      <c r="E360" s="9"/>
      <c r="F360" s="9"/>
      <c r="G360" s="9"/>
      <c r="H360" s="35"/>
      <c r="I360" s="9"/>
    </row>
    <row r="361" customFormat="false" ht="15" hidden="false" customHeight="false" outlineLevel="0" collapsed="false">
      <c r="A361" s="34"/>
      <c r="B361" s="9"/>
      <c r="C361" s="9"/>
      <c r="D361" s="9"/>
      <c r="E361" s="9"/>
      <c r="F361" s="9"/>
      <c r="G361" s="9"/>
      <c r="H361" s="35"/>
      <c r="I361" s="9"/>
    </row>
    <row r="362" customFormat="false" ht="15" hidden="false" customHeight="false" outlineLevel="0" collapsed="false">
      <c r="A362" s="34"/>
      <c r="B362" s="9"/>
      <c r="C362" s="9"/>
      <c r="D362" s="9"/>
      <c r="E362" s="9"/>
      <c r="F362" s="9"/>
      <c r="G362" s="9"/>
      <c r="H362" s="35"/>
      <c r="I362" s="9"/>
    </row>
    <row r="363" customFormat="false" ht="15" hidden="false" customHeight="false" outlineLevel="0" collapsed="false">
      <c r="A363" s="34"/>
      <c r="B363" s="9"/>
      <c r="C363" s="9"/>
      <c r="D363" s="9"/>
      <c r="E363" s="9"/>
      <c r="F363" s="9"/>
      <c r="G363" s="9"/>
      <c r="H363" s="35"/>
      <c r="I363" s="9"/>
    </row>
    <row r="364" customFormat="false" ht="15" hidden="false" customHeight="false" outlineLevel="0" collapsed="false">
      <c r="A364" s="34"/>
      <c r="B364" s="9"/>
      <c r="C364" s="9"/>
      <c r="D364" s="9"/>
      <c r="E364" s="9"/>
      <c r="F364" s="9"/>
      <c r="G364" s="9"/>
      <c r="H364" s="35"/>
      <c r="I364" s="9"/>
    </row>
    <row r="365" customFormat="false" ht="15" hidden="false" customHeight="false" outlineLevel="0" collapsed="false">
      <c r="A365" s="34"/>
      <c r="B365" s="9"/>
      <c r="C365" s="9"/>
      <c r="D365" s="9"/>
      <c r="E365" s="9"/>
      <c r="F365" s="9"/>
      <c r="G365" s="9"/>
      <c r="H365" s="35"/>
      <c r="I365" s="9"/>
    </row>
    <row r="366" customFormat="false" ht="15" hidden="false" customHeight="false" outlineLevel="0" collapsed="false">
      <c r="A366" s="34"/>
      <c r="B366" s="9"/>
      <c r="C366" s="9"/>
      <c r="D366" s="9"/>
      <c r="E366" s="9"/>
      <c r="F366" s="9"/>
      <c r="G366" s="9"/>
      <c r="H366" s="35"/>
      <c r="I366" s="9"/>
    </row>
    <row r="367" customFormat="false" ht="15" hidden="false" customHeight="false" outlineLevel="0" collapsed="false">
      <c r="A367" s="34"/>
      <c r="B367" s="9"/>
      <c r="C367" s="9"/>
      <c r="D367" s="9"/>
      <c r="E367" s="9"/>
      <c r="F367" s="9"/>
      <c r="G367" s="9"/>
      <c r="H367" s="35"/>
      <c r="I367" s="9"/>
    </row>
    <row r="368" customFormat="false" ht="15" hidden="false" customHeight="false" outlineLevel="0" collapsed="false">
      <c r="A368" s="34"/>
      <c r="B368" s="9"/>
      <c r="C368" s="9"/>
      <c r="D368" s="9"/>
      <c r="E368" s="9"/>
      <c r="F368" s="9"/>
      <c r="G368" s="9"/>
      <c r="H368" s="35"/>
      <c r="I368" s="9"/>
    </row>
    <row r="369" customFormat="false" ht="15" hidden="false" customHeight="false" outlineLevel="0" collapsed="false">
      <c r="A369" s="34"/>
      <c r="B369" s="9"/>
      <c r="C369" s="9"/>
      <c r="D369" s="9"/>
      <c r="E369" s="9"/>
      <c r="F369" s="9"/>
      <c r="G369" s="9"/>
      <c r="H369" s="35"/>
      <c r="I369" s="9"/>
    </row>
    <row r="370" customFormat="false" ht="15" hidden="false" customHeight="false" outlineLevel="0" collapsed="false">
      <c r="A370" s="34"/>
      <c r="B370" s="9"/>
      <c r="C370" s="9"/>
      <c r="D370" s="9"/>
      <c r="E370" s="9"/>
      <c r="F370" s="9"/>
      <c r="G370" s="9"/>
      <c r="H370" s="35"/>
      <c r="I370" s="9"/>
    </row>
    <row r="371" customFormat="false" ht="15" hidden="false" customHeight="false" outlineLevel="0" collapsed="false">
      <c r="A371" s="34"/>
      <c r="B371" s="9"/>
      <c r="C371" s="9"/>
      <c r="D371" s="9"/>
      <c r="E371" s="9"/>
      <c r="F371" s="9"/>
      <c r="G371" s="9"/>
      <c r="H371" s="35"/>
      <c r="I371" s="9"/>
    </row>
    <row r="372" customFormat="false" ht="15" hidden="false" customHeight="false" outlineLevel="0" collapsed="false">
      <c r="A372" s="34"/>
      <c r="B372" s="9"/>
      <c r="C372" s="9"/>
      <c r="D372" s="9"/>
      <c r="E372" s="9"/>
      <c r="F372" s="9"/>
      <c r="G372" s="9"/>
      <c r="H372" s="35"/>
      <c r="I372" s="9"/>
    </row>
    <row r="373" customFormat="false" ht="15" hidden="false" customHeight="false" outlineLevel="0" collapsed="false">
      <c r="A373" s="34"/>
      <c r="B373" s="9"/>
      <c r="C373" s="9"/>
      <c r="D373" s="9"/>
      <c r="E373" s="9"/>
      <c r="F373" s="9"/>
      <c r="G373" s="9"/>
      <c r="H373" s="35"/>
      <c r="I373" s="9"/>
    </row>
    <row r="374" customFormat="false" ht="15" hidden="false" customHeight="false" outlineLevel="0" collapsed="false">
      <c r="A374" s="34"/>
      <c r="B374" s="9"/>
      <c r="C374" s="9"/>
      <c r="D374" s="9"/>
      <c r="E374" s="9"/>
      <c r="F374" s="9"/>
      <c r="G374" s="9"/>
      <c r="H374" s="35"/>
      <c r="I374" s="9"/>
    </row>
    <row r="375" customFormat="false" ht="15" hidden="false" customHeight="false" outlineLevel="0" collapsed="false">
      <c r="A375" s="34"/>
      <c r="B375" s="9"/>
      <c r="C375" s="9"/>
      <c r="D375" s="9"/>
      <c r="E375" s="9"/>
      <c r="F375" s="9"/>
      <c r="G375" s="9"/>
      <c r="H375" s="35"/>
      <c r="I375" s="9"/>
    </row>
    <row r="376" customFormat="false" ht="15" hidden="false" customHeight="false" outlineLevel="0" collapsed="false">
      <c r="A376" s="34"/>
      <c r="B376" s="9"/>
      <c r="C376" s="9"/>
      <c r="D376" s="9"/>
      <c r="E376" s="9"/>
      <c r="F376" s="9"/>
      <c r="G376" s="9"/>
      <c r="H376" s="35"/>
      <c r="I376" s="9"/>
    </row>
    <row r="377" customFormat="false" ht="15" hidden="false" customHeight="false" outlineLevel="0" collapsed="false">
      <c r="A377" s="34"/>
      <c r="B377" s="9"/>
      <c r="C377" s="9"/>
      <c r="D377" s="9"/>
      <c r="E377" s="9"/>
      <c r="F377" s="9"/>
      <c r="G377" s="9"/>
      <c r="H377" s="35"/>
      <c r="I377" s="9"/>
    </row>
    <row r="378" customFormat="false" ht="15" hidden="false" customHeight="false" outlineLevel="0" collapsed="false">
      <c r="A378" s="34"/>
      <c r="B378" s="9"/>
      <c r="C378" s="9"/>
      <c r="D378" s="9"/>
      <c r="E378" s="9"/>
      <c r="F378" s="9"/>
      <c r="G378" s="9"/>
      <c r="H378" s="35"/>
      <c r="I378" s="9"/>
    </row>
    <row r="379" customFormat="false" ht="15" hidden="false" customHeight="false" outlineLevel="0" collapsed="false">
      <c r="A379" s="34"/>
      <c r="B379" s="9"/>
      <c r="C379" s="9"/>
      <c r="D379" s="9"/>
      <c r="E379" s="9"/>
      <c r="F379" s="9"/>
      <c r="G379" s="9"/>
      <c r="H379" s="35"/>
      <c r="I379" s="9"/>
    </row>
    <row r="380" customFormat="false" ht="15" hidden="false" customHeight="false" outlineLevel="0" collapsed="false">
      <c r="A380" s="34"/>
      <c r="B380" s="9"/>
      <c r="C380" s="9"/>
      <c r="D380" s="9"/>
      <c r="E380" s="9"/>
      <c r="F380" s="9"/>
      <c r="G380" s="9"/>
      <c r="H380" s="35"/>
      <c r="I380" s="9"/>
    </row>
    <row r="381" customFormat="false" ht="15" hidden="false" customHeight="false" outlineLevel="0" collapsed="false">
      <c r="A381" s="34"/>
      <c r="B381" s="9"/>
      <c r="C381" s="9"/>
      <c r="D381" s="9"/>
      <c r="E381" s="9"/>
      <c r="F381" s="9"/>
      <c r="G381" s="9"/>
      <c r="H381" s="35"/>
      <c r="I381" s="9"/>
    </row>
    <row r="382" customFormat="false" ht="15" hidden="false" customHeight="false" outlineLevel="0" collapsed="false">
      <c r="A382" s="34"/>
      <c r="B382" s="9"/>
      <c r="C382" s="9"/>
      <c r="D382" s="9"/>
      <c r="E382" s="9"/>
      <c r="F382" s="9"/>
      <c r="G382" s="9"/>
      <c r="H382" s="35"/>
      <c r="I382" s="9"/>
    </row>
    <row r="383" customFormat="false" ht="15" hidden="false" customHeight="false" outlineLevel="0" collapsed="false">
      <c r="A383" s="34"/>
      <c r="B383" s="9"/>
      <c r="C383" s="9"/>
      <c r="D383" s="9"/>
      <c r="E383" s="9"/>
      <c r="F383" s="9"/>
      <c r="G383" s="9"/>
      <c r="H383" s="35"/>
      <c r="I383" s="9"/>
    </row>
    <row r="384" customFormat="false" ht="15" hidden="false" customHeight="false" outlineLevel="0" collapsed="false">
      <c r="A384" s="34"/>
      <c r="B384" s="9"/>
      <c r="C384" s="9"/>
      <c r="D384" s="9"/>
      <c r="E384" s="9"/>
      <c r="F384" s="9"/>
      <c r="G384" s="9"/>
      <c r="H384" s="35"/>
      <c r="I384" s="9"/>
    </row>
    <row r="385" customFormat="false" ht="15" hidden="false" customHeight="false" outlineLevel="0" collapsed="false">
      <c r="A385" s="34"/>
      <c r="B385" s="9"/>
      <c r="C385" s="9"/>
      <c r="D385" s="9"/>
      <c r="E385" s="9"/>
      <c r="F385" s="9"/>
      <c r="G385" s="9"/>
      <c r="H385" s="35"/>
      <c r="I385" s="9"/>
    </row>
    <row r="386" customFormat="false" ht="15" hidden="false" customHeight="false" outlineLevel="0" collapsed="false">
      <c r="A386" s="34"/>
      <c r="B386" s="9"/>
      <c r="C386" s="9"/>
      <c r="D386" s="9"/>
      <c r="E386" s="9"/>
      <c r="F386" s="9"/>
      <c r="G386" s="9"/>
      <c r="H386" s="35"/>
      <c r="I386" s="9"/>
    </row>
    <row r="387" customFormat="false" ht="15" hidden="false" customHeight="false" outlineLevel="0" collapsed="false">
      <c r="A387" s="34"/>
      <c r="B387" s="9"/>
      <c r="C387" s="9"/>
      <c r="D387" s="9"/>
      <c r="E387" s="9"/>
      <c r="F387" s="9"/>
      <c r="G387" s="9"/>
      <c r="H387" s="35"/>
      <c r="I387" s="9"/>
    </row>
    <row r="388" customFormat="false" ht="15" hidden="false" customHeight="false" outlineLevel="0" collapsed="false">
      <c r="A388" s="34"/>
      <c r="B388" s="9"/>
      <c r="C388" s="9"/>
      <c r="D388" s="9"/>
      <c r="E388" s="9"/>
      <c r="F388" s="9"/>
      <c r="G388" s="9"/>
      <c r="H388" s="35"/>
      <c r="I388" s="9"/>
    </row>
    <row r="389" customFormat="false" ht="15" hidden="false" customHeight="false" outlineLevel="0" collapsed="false">
      <c r="A389" s="34"/>
      <c r="B389" s="9"/>
      <c r="C389" s="9"/>
      <c r="D389" s="9"/>
      <c r="E389" s="9"/>
      <c r="F389" s="9"/>
      <c r="G389" s="9"/>
      <c r="H389" s="35"/>
      <c r="I389" s="9"/>
    </row>
    <row r="390" customFormat="false" ht="15" hidden="false" customHeight="false" outlineLevel="0" collapsed="false">
      <c r="A390" s="34"/>
      <c r="B390" s="9"/>
      <c r="C390" s="9"/>
      <c r="D390" s="9"/>
      <c r="E390" s="9"/>
      <c r="F390" s="9"/>
      <c r="G390" s="9"/>
      <c r="H390" s="35"/>
      <c r="I390" s="9"/>
    </row>
    <row r="391" customFormat="false" ht="15" hidden="false" customHeight="false" outlineLevel="0" collapsed="false">
      <c r="A391" s="34"/>
      <c r="B391" s="9"/>
      <c r="C391" s="9"/>
      <c r="D391" s="9"/>
      <c r="E391" s="9"/>
      <c r="F391" s="9"/>
      <c r="G391" s="9"/>
      <c r="H391" s="35"/>
      <c r="I391" s="9"/>
    </row>
    <row r="392" customFormat="false" ht="15" hidden="false" customHeight="false" outlineLevel="0" collapsed="false">
      <c r="A392" s="34"/>
      <c r="B392" s="9"/>
      <c r="C392" s="9"/>
      <c r="D392" s="9"/>
      <c r="E392" s="9"/>
      <c r="F392" s="9"/>
      <c r="G392" s="9"/>
      <c r="H392" s="35"/>
      <c r="I392" s="9"/>
    </row>
    <row r="393" customFormat="false" ht="15" hidden="false" customHeight="false" outlineLevel="0" collapsed="false">
      <c r="A393" s="34"/>
      <c r="B393" s="9"/>
      <c r="C393" s="9"/>
      <c r="D393" s="9"/>
      <c r="E393" s="9"/>
      <c r="F393" s="9"/>
      <c r="G393" s="9"/>
      <c r="H393" s="35"/>
      <c r="I393" s="9"/>
    </row>
    <row r="394" customFormat="false" ht="15" hidden="false" customHeight="false" outlineLevel="0" collapsed="false">
      <c r="A394" s="34"/>
      <c r="B394" s="9"/>
      <c r="C394" s="9"/>
      <c r="D394" s="9"/>
      <c r="E394" s="9"/>
      <c r="F394" s="9"/>
      <c r="G394" s="9"/>
      <c r="H394" s="35"/>
      <c r="I394" s="9"/>
    </row>
    <row r="395" customFormat="false" ht="15" hidden="false" customHeight="false" outlineLevel="0" collapsed="false">
      <c r="A395" s="34"/>
      <c r="B395" s="9"/>
      <c r="C395" s="9"/>
      <c r="D395" s="9"/>
      <c r="E395" s="9"/>
      <c r="F395" s="9"/>
      <c r="G395" s="9"/>
      <c r="H395" s="35"/>
      <c r="I395" s="9"/>
    </row>
    <row r="396" customFormat="false" ht="15" hidden="false" customHeight="false" outlineLevel="0" collapsed="false">
      <c r="A396" s="34"/>
      <c r="B396" s="9"/>
      <c r="C396" s="9"/>
      <c r="D396" s="9"/>
      <c r="E396" s="9"/>
      <c r="F396" s="9"/>
      <c r="G396" s="9"/>
      <c r="H396" s="35"/>
      <c r="I396" s="9"/>
    </row>
    <row r="397" customFormat="false" ht="15" hidden="false" customHeight="false" outlineLevel="0" collapsed="false">
      <c r="A397" s="34"/>
      <c r="B397" s="9"/>
      <c r="C397" s="9"/>
      <c r="D397" s="9"/>
      <c r="E397" s="9"/>
      <c r="F397" s="9"/>
      <c r="G397" s="9"/>
      <c r="H397" s="35"/>
      <c r="I397" s="9"/>
    </row>
    <row r="398" customFormat="false" ht="15" hidden="false" customHeight="false" outlineLevel="0" collapsed="false">
      <c r="A398" s="34"/>
      <c r="B398" s="9"/>
      <c r="C398" s="9"/>
      <c r="D398" s="9"/>
      <c r="E398" s="9"/>
      <c r="F398" s="9"/>
      <c r="G398" s="9"/>
      <c r="H398" s="35"/>
      <c r="I398" s="9"/>
    </row>
    <row r="399" customFormat="false" ht="15" hidden="false" customHeight="false" outlineLevel="0" collapsed="false">
      <c r="A399" s="34"/>
      <c r="B399" s="9"/>
      <c r="C399" s="9"/>
      <c r="D399" s="9"/>
      <c r="E399" s="9"/>
      <c r="F399" s="9"/>
      <c r="G399" s="9"/>
      <c r="H399" s="35"/>
      <c r="I399" s="9"/>
    </row>
    <row r="400" customFormat="false" ht="15" hidden="false" customHeight="false" outlineLevel="0" collapsed="false">
      <c r="A400" s="34"/>
      <c r="B400" s="9"/>
      <c r="C400" s="9"/>
      <c r="D400" s="9"/>
      <c r="E400" s="9"/>
      <c r="F400" s="9"/>
      <c r="G400" s="9"/>
      <c r="H400" s="35"/>
      <c r="I400" s="9"/>
    </row>
    <row r="401" customFormat="false" ht="15" hidden="false" customHeight="false" outlineLevel="0" collapsed="false">
      <c r="A401" s="34"/>
      <c r="B401" s="9"/>
      <c r="C401" s="9"/>
      <c r="D401" s="9"/>
      <c r="E401" s="9"/>
      <c r="F401" s="9"/>
      <c r="G401" s="9"/>
      <c r="H401" s="35"/>
      <c r="I401" s="9"/>
    </row>
    <row r="402" customFormat="false" ht="15" hidden="false" customHeight="false" outlineLevel="0" collapsed="false">
      <c r="A402" s="34"/>
      <c r="B402" s="9"/>
      <c r="C402" s="9"/>
      <c r="D402" s="9"/>
      <c r="E402" s="9"/>
      <c r="F402" s="9"/>
      <c r="G402" s="9"/>
      <c r="H402" s="35"/>
      <c r="I402" s="9"/>
    </row>
    <row r="403" customFormat="false" ht="15" hidden="false" customHeight="false" outlineLevel="0" collapsed="false">
      <c r="A403" s="34"/>
      <c r="B403" s="9"/>
      <c r="C403" s="9"/>
      <c r="D403" s="9"/>
      <c r="E403" s="9"/>
      <c r="F403" s="9"/>
      <c r="G403" s="9"/>
      <c r="H403" s="35"/>
      <c r="I403" s="9"/>
    </row>
    <row r="404" customFormat="false" ht="15" hidden="false" customHeight="false" outlineLevel="0" collapsed="false">
      <c r="A404" s="34"/>
      <c r="B404" s="9"/>
      <c r="C404" s="9"/>
      <c r="D404" s="9"/>
      <c r="E404" s="9"/>
      <c r="F404" s="9"/>
      <c r="G404" s="9"/>
      <c r="H404" s="35"/>
      <c r="I404" s="9"/>
    </row>
    <row r="405" customFormat="false" ht="15" hidden="false" customHeight="false" outlineLevel="0" collapsed="false">
      <c r="A405" s="34"/>
      <c r="B405" s="9"/>
      <c r="C405" s="9"/>
      <c r="D405" s="9"/>
      <c r="E405" s="9"/>
      <c r="F405" s="9"/>
      <c r="G405" s="9"/>
      <c r="H405" s="35"/>
      <c r="I405" s="9"/>
    </row>
    <row r="406" customFormat="false" ht="15" hidden="false" customHeight="false" outlineLevel="0" collapsed="false">
      <c r="A406" s="34"/>
      <c r="B406" s="9"/>
      <c r="C406" s="9"/>
      <c r="D406" s="9"/>
      <c r="E406" s="9"/>
      <c r="F406" s="9"/>
      <c r="G406" s="9"/>
      <c r="H406" s="35"/>
      <c r="I406" s="9"/>
    </row>
    <row r="407" customFormat="false" ht="15" hidden="false" customHeight="false" outlineLevel="0" collapsed="false">
      <c r="A407" s="34"/>
      <c r="B407" s="9"/>
      <c r="C407" s="9"/>
      <c r="D407" s="9"/>
      <c r="E407" s="9"/>
      <c r="F407" s="9"/>
      <c r="G407" s="9"/>
      <c r="H407" s="35"/>
      <c r="I407" s="9"/>
    </row>
    <row r="408" customFormat="false" ht="15" hidden="false" customHeight="false" outlineLevel="0" collapsed="false">
      <c r="A408" s="34"/>
      <c r="B408" s="9"/>
      <c r="C408" s="9"/>
      <c r="D408" s="9"/>
      <c r="E408" s="9"/>
      <c r="F408" s="9"/>
      <c r="G408" s="9"/>
      <c r="H408" s="35"/>
      <c r="I408" s="9"/>
    </row>
    <row r="409" customFormat="false" ht="15" hidden="false" customHeight="false" outlineLevel="0" collapsed="false">
      <c r="A409" s="34"/>
      <c r="B409" s="9"/>
      <c r="C409" s="9"/>
      <c r="D409" s="9"/>
      <c r="E409" s="9"/>
      <c r="F409" s="9"/>
      <c r="G409" s="9"/>
      <c r="H409" s="35"/>
      <c r="I409" s="9"/>
    </row>
    <row r="410" customFormat="false" ht="15" hidden="false" customHeight="false" outlineLevel="0" collapsed="false">
      <c r="A410" s="34"/>
      <c r="B410" s="9"/>
      <c r="C410" s="9"/>
      <c r="D410" s="9"/>
      <c r="E410" s="9"/>
      <c r="F410" s="9"/>
      <c r="G410" s="9"/>
      <c r="H410" s="35"/>
      <c r="I410" s="9"/>
    </row>
    <row r="411" customFormat="false" ht="15" hidden="false" customHeight="false" outlineLevel="0" collapsed="false">
      <c r="A411" s="34"/>
      <c r="B411" s="9"/>
      <c r="C411" s="9"/>
      <c r="D411" s="9"/>
      <c r="E411" s="9"/>
      <c r="F411" s="9"/>
      <c r="G411" s="9"/>
      <c r="H411" s="35"/>
      <c r="I411" s="9"/>
    </row>
    <row r="412" customFormat="false" ht="15" hidden="false" customHeight="false" outlineLevel="0" collapsed="false">
      <c r="A412" s="34"/>
      <c r="B412" s="9"/>
      <c r="C412" s="9"/>
      <c r="D412" s="9"/>
      <c r="E412" s="9"/>
      <c r="F412" s="9"/>
      <c r="G412" s="9"/>
      <c r="H412" s="35"/>
      <c r="I412" s="9"/>
    </row>
    <row r="413" customFormat="false" ht="15" hidden="false" customHeight="false" outlineLevel="0" collapsed="false">
      <c r="A413" s="34"/>
      <c r="B413" s="9"/>
      <c r="C413" s="9"/>
      <c r="D413" s="9"/>
      <c r="E413" s="9"/>
      <c r="F413" s="9"/>
      <c r="G413" s="9"/>
      <c r="H413" s="35"/>
      <c r="I413" s="9"/>
    </row>
    <row r="414" customFormat="false" ht="15" hidden="false" customHeight="false" outlineLevel="0" collapsed="false">
      <c r="A414" s="34"/>
      <c r="B414" s="9"/>
      <c r="C414" s="9"/>
      <c r="D414" s="9"/>
      <c r="E414" s="9"/>
      <c r="F414" s="9"/>
      <c r="G414" s="9"/>
      <c r="H414" s="35"/>
      <c r="I414" s="9"/>
    </row>
    <row r="415" customFormat="false" ht="15" hidden="false" customHeight="false" outlineLevel="0" collapsed="false">
      <c r="A415" s="34"/>
      <c r="B415" s="9"/>
      <c r="C415" s="9"/>
      <c r="D415" s="9"/>
      <c r="E415" s="9"/>
      <c r="F415" s="9"/>
      <c r="G415" s="9"/>
      <c r="H415" s="35"/>
      <c r="I415" s="9"/>
    </row>
    <row r="416" customFormat="false" ht="15" hidden="false" customHeight="false" outlineLevel="0" collapsed="false">
      <c r="A416" s="34"/>
      <c r="B416" s="9"/>
      <c r="C416" s="9"/>
      <c r="D416" s="9"/>
      <c r="E416" s="9"/>
      <c r="F416" s="9"/>
      <c r="G416" s="9"/>
      <c r="H416" s="35"/>
      <c r="I416" s="9"/>
    </row>
    <row r="417" customFormat="false" ht="15" hidden="false" customHeight="false" outlineLevel="0" collapsed="false">
      <c r="A417" s="34"/>
      <c r="B417" s="9"/>
      <c r="C417" s="9"/>
      <c r="D417" s="9"/>
      <c r="E417" s="9"/>
      <c r="F417" s="9"/>
      <c r="G417" s="9"/>
      <c r="H417" s="35"/>
      <c r="I417" s="9"/>
    </row>
    <row r="418" customFormat="false" ht="15" hidden="false" customHeight="false" outlineLevel="0" collapsed="false">
      <c r="A418" s="34"/>
      <c r="B418" s="9"/>
      <c r="C418" s="9"/>
      <c r="D418" s="9"/>
      <c r="E418" s="9"/>
      <c r="F418" s="9"/>
      <c r="G418" s="9"/>
      <c r="H418" s="35"/>
      <c r="I418" s="9"/>
    </row>
    <row r="419" customFormat="false" ht="15" hidden="false" customHeight="false" outlineLevel="0" collapsed="false">
      <c r="A419" s="34"/>
      <c r="B419" s="9"/>
      <c r="C419" s="9"/>
      <c r="D419" s="9"/>
      <c r="E419" s="9"/>
      <c r="F419" s="9"/>
      <c r="G419" s="9"/>
      <c r="H419" s="35"/>
      <c r="I419" s="9"/>
    </row>
    <row r="420" customFormat="false" ht="15" hidden="false" customHeight="false" outlineLevel="0" collapsed="false">
      <c r="A420" s="34"/>
      <c r="B420" s="9"/>
      <c r="C420" s="9"/>
      <c r="D420" s="9"/>
      <c r="E420" s="9"/>
      <c r="F420" s="9"/>
      <c r="G420" s="9"/>
      <c r="H420" s="35"/>
      <c r="I420" s="9"/>
    </row>
    <row r="421" customFormat="false" ht="15" hidden="false" customHeight="false" outlineLevel="0" collapsed="false">
      <c r="A421" s="34"/>
      <c r="B421" s="9"/>
      <c r="C421" s="9"/>
      <c r="D421" s="9"/>
      <c r="E421" s="9"/>
      <c r="F421" s="9"/>
      <c r="G421" s="9"/>
      <c r="H421" s="35"/>
      <c r="I421" s="9"/>
    </row>
    <row r="422" customFormat="false" ht="15" hidden="false" customHeight="false" outlineLevel="0" collapsed="false">
      <c r="A422" s="34"/>
      <c r="B422" s="9"/>
      <c r="C422" s="9"/>
      <c r="D422" s="9"/>
      <c r="E422" s="9"/>
      <c r="F422" s="9"/>
      <c r="G422" s="9"/>
      <c r="H422" s="35"/>
      <c r="I422" s="9"/>
    </row>
    <row r="423" customFormat="false" ht="15" hidden="false" customHeight="false" outlineLevel="0" collapsed="false">
      <c r="A423" s="34"/>
      <c r="B423" s="9"/>
      <c r="C423" s="9"/>
      <c r="D423" s="9"/>
      <c r="E423" s="9"/>
      <c r="F423" s="9"/>
      <c r="G423" s="9"/>
      <c r="H423" s="35"/>
      <c r="I423" s="9"/>
    </row>
    <row r="424" customFormat="false" ht="15" hidden="false" customHeight="false" outlineLevel="0" collapsed="false">
      <c r="A424" s="34"/>
      <c r="B424" s="9"/>
      <c r="C424" s="9"/>
      <c r="D424" s="9"/>
      <c r="E424" s="9"/>
      <c r="F424" s="9"/>
      <c r="G424" s="9"/>
      <c r="H424" s="35"/>
      <c r="I424" s="9"/>
    </row>
    <row r="425" customFormat="false" ht="15" hidden="false" customHeight="false" outlineLevel="0" collapsed="false">
      <c r="A425" s="34"/>
      <c r="B425" s="9"/>
      <c r="C425" s="9"/>
      <c r="D425" s="9"/>
      <c r="E425" s="9"/>
      <c r="F425" s="9"/>
      <c r="G425" s="9"/>
      <c r="H425" s="35"/>
      <c r="I425" s="9"/>
    </row>
    <row r="426" customFormat="false" ht="15" hidden="false" customHeight="false" outlineLevel="0" collapsed="false">
      <c r="A426" s="34"/>
      <c r="B426" s="9"/>
      <c r="C426" s="9"/>
      <c r="D426" s="9"/>
      <c r="E426" s="9"/>
      <c r="F426" s="9"/>
      <c r="G426" s="9"/>
      <c r="H426" s="35"/>
      <c r="I426" s="9"/>
    </row>
    <row r="427" customFormat="false" ht="15" hidden="false" customHeight="false" outlineLevel="0" collapsed="false">
      <c r="A427" s="34"/>
      <c r="B427" s="9"/>
      <c r="C427" s="9"/>
      <c r="D427" s="9"/>
      <c r="E427" s="9"/>
      <c r="F427" s="9"/>
      <c r="G427" s="9"/>
      <c r="H427" s="35"/>
      <c r="I427" s="9"/>
    </row>
    <row r="428" customFormat="false" ht="15" hidden="false" customHeight="false" outlineLevel="0" collapsed="false">
      <c r="A428" s="34"/>
      <c r="B428" s="9"/>
      <c r="C428" s="9"/>
      <c r="D428" s="9"/>
      <c r="E428" s="9"/>
      <c r="F428" s="9"/>
      <c r="G428" s="9"/>
      <c r="H428" s="35"/>
      <c r="I428" s="9"/>
    </row>
    <row r="429" customFormat="false" ht="15" hidden="false" customHeight="false" outlineLevel="0" collapsed="false">
      <c r="A429" s="34"/>
      <c r="B429" s="9"/>
      <c r="C429" s="9"/>
      <c r="D429" s="9"/>
      <c r="E429" s="9"/>
      <c r="F429" s="9"/>
      <c r="G429" s="9"/>
      <c r="H429" s="35"/>
      <c r="I429" s="9"/>
    </row>
    <row r="430" customFormat="false" ht="15" hidden="false" customHeight="false" outlineLevel="0" collapsed="false">
      <c r="A430" s="34"/>
      <c r="B430" s="9"/>
      <c r="C430" s="9"/>
      <c r="D430" s="9"/>
      <c r="E430" s="9"/>
      <c r="F430" s="9"/>
      <c r="G430" s="9"/>
      <c r="H430" s="35"/>
      <c r="I430" s="9"/>
    </row>
    <row r="431" customFormat="false" ht="15" hidden="false" customHeight="false" outlineLevel="0" collapsed="false">
      <c r="A431" s="34"/>
      <c r="B431" s="9"/>
      <c r="C431" s="9"/>
      <c r="D431" s="9"/>
      <c r="E431" s="9"/>
      <c r="F431" s="9"/>
      <c r="G431" s="9"/>
      <c r="H431" s="35"/>
      <c r="I431" s="9"/>
    </row>
    <row r="432" customFormat="false" ht="15" hidden="false" customHeight="false" outlineLevel="0" collapsed="false">
      <c r="A432" s="34"/>
      <c r="B432" s="9"/>
      <c r="C432" s="9"/>
      <c r="D432" s="9"/>
      <c r="E432" s="9"/>
      <c r="F432" s="9"/>
      <c r="G432" s="9"/>
      <c r="H432" s="35"/>
      <c r="I432" s="9"/>
    </row>
    <row r="433" customFormat="false" ht="15" hidden="false" customHeight="false" outlineLevel="0" collapsed="false">
      <c r="A433" s="34"/>
      <c r="B433" s="9"/>
      <c r="C433" s="9"/>
      <c r="D433" s="9"/>
      <c r="E433" s="9"/>
      <c r="F433" s="9"/>
      <c r="G433" s="9"/>
      <c r="H433" s="35"/>
      <c r="I433" s="9"/>
    </row>
    <row r="434" customFormat="false" ht="15" hidden="false" customHeight="false" outlineLevel="0" collapsed="false">
      <c r="A434" s="34"/>
      <c r="B434" s="9"/>
      <c r="C434" s="9"/>
      <c r="D434" s="9"/>
      <c r="E434" s="9"/>
      <c r="F434" s="9"/>
      <c r="G434" s="9"/>
      <c r="H434" s="35"/>
      <c r="I434" s="9"/>
    </row>
    <row r="435" customFormat="false" ht="15" hidden="false" customHeight="false" outlineLevel="0" collapsed="false">
      <c r="A435" s="34"/>
      <c r="B435" s="9"/>
      <c r="C435" s="9"/>
      <c r="D435" s="9"/>
      <c r="E435" s="9"/>
      <c r="F435" s="9"/>
      <c r="G435" s="9"/>
      <c r="H435" s="35"/>
      <c r="I435" s="9"/>
    </row>
    <row r="436" customFormat="false" ht="15" hidden="false" customHeight="false" outlineLevel="0" collapsed="false">
      <c r="A436" s="34"/>
      <c r="B436" s="9"/>
      <c r="C436" s="9"/>
      <c r="D436" s="9"/>
      <c r="E436" s="9"/>
      <c r="F436" s="9"/>
      <c r="G436" s="9"/>
      <c r="H436" s="35"/>
      <c r="I436" s="9"/>
    </row>
    <row r="437" customFormat="false" ht="15" hidden="false" customHeight="false" outlineLevel="0" collapsed="false">
      <c r="A437" s="34"/>
      <c r="B437" s="9"/>
      <c r="C437" s="9"/>
      <c r="D437" s="9"/>
      <c r="E437" s="9"/>
      <c r="F437" s="9"/>
      <c r="G437" s="9"/>
      <c r="H437" s="35"/>
      <c r="I437" s="9"/>
    </row>
    <row r="438" customFormat="false" ht="15" hidden="false" customHeight="false" outlineLevel="0" collapsed="false">
      <c r="A438" s="34"/>
      <c r="B438" s="9"/>
      <c r="C438" s="9"/>
      <c r="D438" s="9"/>
      <c r="E438" s="9"/>
      <c r="F438" s="9"/>
      <c r="G438" s="9"/>
      <c r="H438" s="35"/>
      <c r="I438" s="9"/>
    </row>
    <row r="439" customFormat="false" ht="15" hidden="false" customHeight="false" outlineLevel="0" collapsed="false">
      <c r="A439" s="34"/>
      <c r="B439" s="9"/>
      <c r="C439" s="9"/>
      <c r="D439" s="9"/>
      <c r="E439" s="9"/>
      <c r="F439" s="9"/>
      <c r="G439" s="9"/>
      <c r="H439" s="35"/>
      <c r="I439" s="9"/>
    </row>
    <row r="440" customFormat="false" ht="15" hidden="false" customHeight="false" outlineLevel="0" collapsed="false">
      <c r="A440" s="34"/>
      <c r="B440" s="9"/>
      <c r="C440" s="9"/>
      <c r="D440" s="9"/>
      <c r="E440" s="9"/>
      <c r="F440" s="9"/>
      <c r="G440" s="9"/>
      <c r="H440" s="35"/>
      <c r="I440" s="9"/>
    </row>
    <row r="441" customFormat="false" ht="15" hidden="false" customHeight="false" outlineLevel="0" collapsed="false">
      <c r="A441" s="34"/>
      <c r="B441" s="9"/>
      <c r="C441" s="9"/>
      <c r="D441" s="9"/>
      <c r="E441" s="9"/>
      <c r="F441" s="9"/>
      <c r="G441" s="9"/>
      <c r="H441" s="35"/>
      <c r="I441" s="9"/>
    </row>
    <row r="442" customFormat="false" ht="15" hidden="false" customHeight="false" outlineLevel="0" collapsed="false">
      <c r="A442" s="34"/>
      <c r="B442" s="9"/>
      <c r="C442" s="9"/>
      <c r="D442" s="9"/>
      <c r="E442" s="9"/>
      <c r="F442" s="9"/>
      <c r="G442" s="9"/>
      <c r="H442" s="35"/>
      <c r="I442" s="9"/>
    </row>
    <row r="443" customFormat="false" ht="15" hidden="false" customHeight="false" outlineLevel="0" collapsed="false">
      <c r="A443" s="34"/>
      <c r="B443" s="9"/>
      <c r="C443" s="9"/>
      <c r="D443" s="9"/>
      <c r="E443" s="9"/>
      <c r="F443" s="9"/>
      <c r="G443" s="9"/>
      <c r="H443" s="35"/>
      <c r="I443" s="9"/>
    </row>
    <row r="444" customFormat="false" ht="15" hidden="false" customHeight="false" outlineLevel="0" collapsed="false">
      <c r="A444" s="34"/>
      <c r="B444" s="9"/>
      <c r="C444" s="9"/>
      <c r="D444" s="9"/>
      <c r="E444" s="9"/>
      <c r="F444" s="9"/>
      <c r="G444" s="9"/>
      <c r="H444" s="35"/>
      <c r="I444" s="9"/>
    </row>
    <row r="445" customFormat="false" ht="15" hidden="false" customHeight="false" outlineLevel="0" collapsed="false">
      <c r="A445" s="34"/>
      <c r="B445" s="9"/>
      <c r="C445" s="9"/>
      <c r="D445" s="9"/>
      <c r="E445" s="9"/>
      <c r="F445" s="9"/>
      <c r="G445" s="9"/>
      <c r="H445" s="35"/>
      <c r="I445" s="9"/>
    </row>
    <row r="446" customFormat="false" ht="15" hidden="false" customHeight="false" outlineLevel="0" collapsed="false">
      <c r="A446" s="34"/>
      <c r="B446" s="9"/>
      <c r="C446" s="9"/>
      <c r="D446" s="9"/>
      <c r="E446" s="9"/>
      <c r="F446" s="9"/>
      <c r="G446" s="9"/>
      <c r="H446" s="35"/>
      <c r="I446" s="9"/>
    </row>
    <row r="447" customFormat="false" ht="15" hidden="false" customHeight="false" outlineLevel="0" collapsed="false">
      <c r="A447" s="34"/>
      <c r="B447" s="9"/>
      <c r="C447" s="9"/>
      <c r="D447" s="9"/>
      <c r="E447" s="9"/>
      <c r="F447" s="9"/>
      <c r="G447" s="9"/>
      <c r="H447" s="35"/>
      <c r="I447" s="9"/>
    </row>
    <row r="448" customFormat="false" ht="15" hidden="false" customHeight="false" outlineLevel="0" collapsed="false">
      <c r="A448" s="34"/>
      <c r="B448" s="9"/>
      <c r="C448" s="9"/>
      <c r="D448" s="9"/>
      <c r="E448" s="9"/>
      <c r="F448" s="9"/>
      <c r="G448" s="9"/>
      <c r="H448" s="35"/>
      <c r="I448" s="9"/>
    </row>
    <row r="449" customFormat="false" ht="15" hidden="false" customHeight="false" outlineLevel="0" collapsed="false">
      <c r="A449" s="34"/>
      <c r="B449" s="9"/>
      <c r="C449" s="9"/>
      <c r="D449" s="9"/>
      <c r="E449" s="9"/>
      <c r="F449" s="9"/>
      <c r="G449" s="9"/>
      <c r="H449" s="35"/>
      <c r="I449" s="9"/>
    </row>
    <row r="450" customFormat="false" ht="15" hidden="false" customHeight="false" outlineLevel="0" collapsed="false">
      <c r="A450" s="34"/>
      <c r="B450" s="9"/>
      <c r="C450" s="9"/>
      <c r="D450" s="9"/>
      <c r="E450" s="9"/>
      <c r="F450" s="9"/>
      <c r="G450" s="9"/>
      <c r="H450" s="35"/>
      <c r="I450" s="9"/>
    </row>
    <row r="451" customFormat="false" ht="15" hidden="false" customHeight="false" outlineLevel="0" collapsed="false">
      <c r="A451" s="34"/>
      <c r="B451" s="9"/>
      <c r="C451" s="9"/>
      <c r="D451" s="9"/>
      <c r="E451" s="9"/>
      <c r="F451" s="9"/>
      <c r="G451" s="9"/>
      <c r="H451" s="35"/>
      <c r="I451" s="9"/>
    </row>
    <row r="452" customFormat="false" ht="15" hidden="false" customHeight="false" outlineLevel="0" collapsed="false">
      <c r="A452" s="34"/>
      <c r="B452" s="9"/>
      <c r="C452" s="9"/>
      <c r="D452" s="9"/>
      <c r="E452" s="9"/>
      <c r="F452" s="9"/>
      <c r="G452" s="9"/>
      <c r="H452" s="35"/>
      <c r="I452" s="9"/>
    </row>
    <row r="453" customFormat="false" ht="15" hidden="false" customHeight="false" outlineLevel="0" collapsed="false">
      <c r="A453" s="34"/>
      <c r="B453" s="9"/>
      <c r="C453" s="9"/>
      <c r="D453" s="9"/>
      <c r="E453" s="9"/>
      <c r="F453" s="9"/>
      <c r="G453" s="9"/>
      <c r="H453" s="35"/>
      <c r="I453" s="9"/>
    </row>
    <row r="454" customFormat="false" ht="15" hidden="false" customHeight="false" outlineLevel="0" collapsed="false">
      <c r="A454" s="34"/>
      <c r="B454" s="9"/>
      <c r="C454" s="9"/>
      <c r="D454" s="9"/>
      <c r="E454" s="9"/>
      <c r="F454" s="9"/>
      <c r="G454" s="9"/>
      <c r="H454" s="35"/>
      <c r="I454" s="9"/>
    </row>
    <row r="455" customFormat="false" ht="15" hidden="false" customHeight="false" outlineLevel="0" collapsed="false">
      <c r="A455" s="34"/>
      <c r="B455" s="9"/>
      <c r="C455" s="9"/>
      <c r="D455" s="9"/>
      <c r="E455" s="9"/>
      <c r="F455" s="9"/>
      <c r="G455" s="9"/>
      <c r="H455" s="35"/>
      <c r="I455" s="9"/>
    </row>
    <row r="456" customFormat="false" ht="15" hidden="false" customHeight="false" outlineLevel="0" collapsed="false">
      <c r="A456" s="34"/>
      <c r="B456" s="9"/>
      <c r="C456" s="9"/>
      <c r="D456" s="9"/>
      <c r="E456" s="9"/>
      <c r="F456" s="9"/>
      <c r="G456" s="9"/>
      <c r="H456" s="35"/>
      <c r="I456" s="9"/>
    </row>
    <row r="457" customFormat="false" ht="15" hidden="false" customHeight="false" outlineLevel="0" collapsed="false">
      <c r="A457" s="34"/>
      <c r="B457" s="9"/>
      <c r="C457" s="9"/>
      <c r="D457" s="9"/>
      <c r="E457" s="9"/>
      <c r="F457" s="9"/>
      <c r="G457" s="9"/>
      <c r="H457" s="35"/>
      <c r="I457" s="9"/>
    </row>
    <row r="458" customFormat="false" ht="15" hidden="false" customHeight="false" outlineLevel="0" collapsed="false">
      <c r="A458" s="34"/>
      <c r="B458" s="9"/>
      <c r="C458" s="9"/>
      <c r="D458" s="9"/>
      <c r="E458" s="9"/>
      <c r="F458" s="9"/>
      <c r="G458" s="9"/>
      <c r="H458" s="35"/>
      <c r="I458" s="9"/>
    </row>
    <row r="459" customFormat="false" ht="15" hidden="false" customHeight="false" outlineLevel="0" collapsed="false">
      <c r="A459" s="34"/>
      <c r="B459" s="9"/>
      <c r="C459" s="9"/>
      <c r="D459" s="9"/>
      <c r="E459" s="9"/>
      <c r="F459" s="9"/>
      <c r="G459" s="9"/>
      <c r="H459" s="35"/>
      <c r="I459" s="9"/>
    </row>
    <row r="460" customFormat="false" ht="15" hidden="false" customHeight="false" outlineLevel="0" collapsed="false">
      <c r="A460" s="34"/>
      <c r="B460" s="9"/>
      <c r="C460" s="9"/>
      <c r="D460" s="9"/>
      <c r="E460" s="9"/>
      <c r="F460" s="9"/>
      <c r="G460" s="9"/>
      <c r="H460" s="35"/>
      <c r="I460" s="9"/>
    </row>
    <row r="461" customFormat="false" ht="15" hidden="false" customHeight="false" outlineLevel="0" collapsed="false">
      <c r="A461" s="34"/>
      <c r="B461" s="9"/>
      <c r="C461" s="9"/>
      <c r="D461" s="9"/>
      <c r="E461" s="9"/>
      <c r="F461" s="9"/>
      <c r="G461" s="9"/>
      <c r="H461" s="35"/>
      <c r="I461" s="9"/>
    </row>
    <row r="462" customFormat="false" ht="15" hidden="false" customHeight="false" outlineLevel="0" collapsed="false">
      <c r="A462" s="34"/>
      <c r="B462" s="9"/>
      <c r="C462" s="9"/>
      <c r="D462" s="9"/>
      <c r="E462" s="9"/>
      <c r="F462" s="9"/>
      <c r="G462" s="9"/>
      <c r="H462" s="35"/>
      <c r="I462" s="9"/>
    </row>
    <row r="463" customFormat="false" ht="15" hidden="false" customHeight="false" outlineLevel="0" collapsed="false">
      <c r="A463" s="34"/>
      <c r="B463" s="9"/>
      <c r="C463" s="9"/>
      <c r="D463" s="9"/>
      <c r="E463" s="9"/>
      <c r="F463" s="9"/>
      <c r="G463" s="9"/>
      <c r="H463" s="35"/>
      <c r="I463" s="9"/>
    </row>
    <row r="464" customFormat="false" ht="15" hidden="false" customHeight="false" outlineLevel="0" collapsed="false">
      <c r="A464" s="34"/>
      <c r="B464" s="9"/>
      <c r="C464" s="9"/>
      <c r="D464" s="9"/>
      <c r="E464" s="9"/>
      <c r="F464" s="9"/>
      <c r="G464" s="9"/>
      <c r="H464" s="35"/>
      <c r="I464" s="9"/>
    </row>
    <row r="465" customFormat="false" ht="15" hidden="false" customHeight="false" outlineLevel="0" collapsed="false">
      <c r="A465" s="34"/>
      <c r="B465" s="9"/>
      <c r="C465" s="9"/>
      <c r="D465" s="9"/>
      <c r="E465" s="9"/>
      <c r="F465" s="9"/>
      <c r="G465" s="9"/>
      <c r="H465" s="35"/>
      <c r="I465" s="9"/>
    </row>
    <row r="466" customFormat="false" ht="15" hidden="false" customHeight="false" outlineLevel="0" collapsed="false">
      <c r="A466" s="34"/>
      <c r="B466" s="9"/>
      <c r="C466" s="9"/>
      <c r="D466" s="9"/>
      <c r="E466" s="9"/>
      <c r="F466" s="9"/>
      <c r="G466" s="9"/>
      <c r="H466" s="35"/>
      <c r="I466" s="9"/>
    </row>
    <row r="467" customFormat="false" ht="15" hidden="false" customHeight="false" outlineLevel="0" collapsed="false">
      <c r="A467" s="34"/>
      <c r="B467" s="9"/>
      <c r="C467" s="9"/>
      <c r="D467" s="9"/>
      <c r="E467" s="9"/>
      <c r="F467" s="9"/>
      <c r="G467" s="9"/>
      <c r="H467" s="35"/>
      <c r="I467" s="9"/>
    </row>
    <row r="468" customFormat="false" ht="15" hidden="false" customHeight="false" outlineLevel="0" collapsed="false">
      <c r="A468" s="34"/>
      <c r="B468" s="9"/>
      <c r="C468" s="9"/>
      <c r="D468" s="9"/>
      <c r="E468" s="9"/>
      <c r="F468" s="9"/>
      <c r="G468" s="9"/>
      <c r="H468" s="35"/>
      <c r="I468" s="9"/>
    </row>
    <row r="469" customFormat="false" ht="15" hidden="false" customHeight="false" outlineLevel="0" collapsed="false">
      <c r="A469" s="34"/>
      <c r="B469" s="9"/>
      <c r="C469" s="9"/>
      <c r="D469" s="9"/>
      <c r="E469" s="9"/>
      <c r="F469" s="9"/>
      <c r="G469" s="9"/>
      <c r="H469" s="35"/>
      <c r="I469" s="9"/>
    </row>
    <row r="470" customFormat="false" ht="15" hidden="false" customHeight="false" outlineLevel="0" collapsed="false">
      <c r="A470" s="34"/>
      <c r="B470" s="9"/>
      <c r="C470" s="9"/>
      <c r="D470" s="9"/>
      <c r="E470" s="9"/>
      <c r="F470" s="9"/>
      <c r="G470" s="9"/>
      <c r="H470" s="35"/>
      <c r="I470" s="9"/>
    </row>
    <row r="471" customFormat="false" ht="15" hidden="false" customHeight="false" outlineLevel="0" collapsed="false">
      <c r="A471" s="34"/>
      <c r="B471" s="9"/>
      <c r="C471" s="9"/>
      <c r="D471" s="9"/>
      <c r="E471" s="9"/>
      <c r="F471" s="9"/>
      <c r="G471" s="9"/>
      <c r="H471" s="35"/>
      <c r="I471" s="9"/>
    </row>
    <row r="472" customFormat="false" ht="15" hidden="false" customHeight="false" outlineLevel="0" collapsed="false">
      <c r="A472" s="34"/>
      <c r="B472" s="9"/>
      <c r="C472" s="9"/>
      <c r="D472" s="9"/>
      <c r="E472" s="9"/>
      <c r="F472" s="9"/>
      <c r="G472" s="9"/>
      <c r="H472" s="35"/>
      <c r="I472" s="9"/>
    </row>
    <row r="473" customFormat="false" ht="15" hidden="false" customHeight="false" outlineLevel="0" collapsed="false">
      <c r="A473" s="34"/>
      <c r="B473" s="9"/>
      <c r="C473" s="9"/>
      <c r="D473" s="9"/>
      <c r="E473" s="9"/>
      <c r="F473" s="9"/>
      <c r="G473" s="9"/>
      <c r="H473" s="35"/>
      <c r="I473" s="9"/>
    </row>
    <row r="474" customFormat="false" ht="15" hidden="false" customHeight="false" outlineLevel="0" collapsed="false">
      <c r="A474" s="34"/>
      <c r="B474" s="9"/>
      <c r="C474" s="9"/>
      <c r="D474" s="9"/>
      <c r="E474" s="9"/>
      <c r="F474" s="9"/>
      <c r="G474" s="9"/>
      <c r="H474" s="35"/>
      <c r="I474" s="9"/>
    </row>
    <row r="475" customFormat="false" ht="15" hidden="false" customHeight="false" outlineLevel="0" collapsed="false">
      <c r="A475" s="34"/>
      <c r="B475" s="9"/>
      <c r="C475" s="9"/>
      <c r="D475" s="9"/>
      <c r="E475" s="9"/>
      <c r="F475" s="9"/>
      <c r="G475" s="9"/>
      <c r="H475" s="35"/>
      <c r="I475" s="9"/>
    </row>
    <row r="476" customFormat="false" ht="15" hidden="false" customHeight="false" outlineLevel="0" collapsed="false">
      <c r="A476" s="34"/>
      <c r="B476" s="9"/>
      <c r="C476" s="9"/>
      <c r="D476" s="9"/>
      <c r="E476" s="9"/>
      <c r="F476" s="9"/>
      <c r="G476" s="9"/>
      <c r="H476" s="35"/>
      <c r="I476" s="9"/>
    </row>
    <row r="477" customFormat="false" ht="15" hidden="false" customHeight="false" outlineLevel="0" collapsed="false">
      <c r="A477" s="34"/>
      <c r="B477" s="9"/>
      <c r="C477" s="9"/>
      <c r="D477" s="9"/>
      <c r="E477" s="9"/>
      <c r="F477" s="9"/>
      <c r="G477" s="9"/>
      <c r="H477" s="35"/>
      <c r="I477" s="9"/>
    </row>
    <row r="478" customFormat="false" ht="15" hidden="false" customHeight="false" outlineLevel="0" collapsed="false">
      <c r="A478" s="34"/>
      <c r="B478" s="9"/>
      <c r="C478" s="9"/>
      <c r="D478" s="9"/>
      <c r="E478" s="9"/>
      <c r="F478" s="9"/>
      <c r="G478" s="9"/>
      <c r="H478" s="35"/>
      <c r="I478" s="9"/>
    </row>
    <row r="479" customFormat="false" ht="15" hidden="false" customHeight="false" outlineLevel="0" collapsed="false">
      <c r="A479" s="34"/>
      <c r="B479" s="9"/>
      <c r="C479" s="9"/>
      <c r="D479" s="9"/>
      <c r="E479" s="9"/>
      <c r="F479" s="9"/>
      <c r="G479" s="9"/>
      <c r="H479" s="35"/>
      <c r="I479" s="9"/>
    </row>
    <row r="480" customFormat="false" ht="15" hidden="false" customHeight="false" outlineLevel="0" collapsed="false">
      <c r="A480" s="34"/>
      <c r="B480" s="9"/>
      <c r="C480" s="9"/>
      <c r="D480" s="9"/>
      <c r="E480" s="9"/>
      <c r="F480" s="9"/>
      <c r="G480" s="9"/>
      <c r="H480" s="35"/>
      <c r="I480" s="9"/>
    </row>
    <row r="481" customFormat="false" ht="15" hidden="false" customHeight="false" outlineLevel="0" collapsed="false">
      <c r="A481" s="34"/>
      <c r="B481" s="9"/>
      <c r="C481" s="9"/>
      <c r="D481" s="9"/>
      <c r="E481" s="9"/>
      <c r="F481" s="9"/>
      <c r="G481" s="9"/>
      <c r="H481" s="35"/>
      <c r="I481" s="9"/>
    </row>
    <row r="482" customFormat="false" ht="15" hidden="false" customHeight="false" outlineLevel="0" collapsed="false">
      <c r="A482" s="34"/>
      <c r="B482" s="9"/>
      <c r="C482" s="9"/>
      <c r="D482" s="9"/>
      <c r="E482" s="9"/>
      <c r="F482" s="9"/>
      <c r="G482" s="9"/>
      <c r="H482" s="35"/>
      <c r="I482" s="9"/>
    </row>
    <row r="483" customFormat="false" ht="15" hidden="false" customHeight="false" outlineLevel="0" collapsed="false">
      <c r="A483" s="34"/>
      <c r="B483" s="9"/>
      <c r="C483" s="9"/>
      <c r="D483" s="9"/>
      <c r="E483" s="9"/>
      <c r="F483" s="9"/>
      <c r="G483" s="9"/>
      <c r="H483" s="35"/>
      <c r="I483" s="9"/>
    </row>
    <row r="484" customFormat="false" ht="15" hidden="false" customHeight="false" outlineLevel="0" collapsed="false">
      <c r="A484" s="34"/>
      <c r="B484" s="9"/>
      <c r="C484" s="9"/>
      <c r="D484" s="9"/>
      <c r="E484" s="9"/>
      <c r="F484" s="9"/>
      <c r="G484" s="9"/>
      <c r="H484" s="35"/>
      <c r="I484" s="9"/>
    </row>
    <row r="485" customFormat="false" ht="15" hidden="false" customHeight="false" outlineLevel="0" collapsed="false">
      <c r="A485" s="34"/>
      <c r="B485" s="9"/>
      <c r="C485" s="9"/>
      <c r="D485" s="9"/>
      <c r="E485" s="9"/>
      <c r="F485" s="9"/>
      <c r="G485" s="9"/>
      <c r="H485" s="35"/>
      <c r="I485" s="9"/>
    </row>
    <row r="486" customFormat="false" ht="15" hidden="false" customHeight="false" outlineLevel="0" collapsed="false">
      <c r="A486" s="34"/>
      <c r="B486" s="9"/>
      <c r="C486" s="9"/>
      <c r="D486" s="9"/>
      <c r="E486" s="9"/>
      <c r="F486" s="9"/>
      <c r="G486" s="9"/>
      <c r="H486" s="35"/>
      <c r="I486" s="9"/>
    </row>
    <row r="487" customFormat="false" ht="15" hidden="false" customHeight="false" outlineLevel="0" collapsed="false">
      <c r="A487" s="34"/>
      <c r="B487" s="9"/>
      <c r="C487" s="9"/>
      <c r="D487" s="9"/>
      <c r="E487" s="9"/>
      <c r="F487" s="9"/>
      <c r="G487" s="9"/>
      <c r="H487" s="35"/>
      <c r="I487" s="9"/>
    </row>
    <row r="488" customFormat="false" ht="15" hidden="false" customHeight="false" outlineLevel="0" collapsed="false">
      <c r="A488" s="34"/>
      <c r="B488" s="9"/>
      <c r="C488" s="9"/>
      <c r="D488" s="9"/>
      <c r="E488" s="9"/>
      <c r="F488" s="9"/>
      <c r="G488" s="9"/>
      <c r="H488" s="35"/>
      <c r="I488" s="9"/>
    </row>
    <row r="489" customFormat="false" ht="15" hidden="false" customHeight="false" outlineLevel="0" collapsed="false">
      <c r="A489" s="34"/>
      <c r="B489" s="9"/>
      <c r="C489" s="9"/>
      <c r="D489" s="9"/>
      <c r="E489" s="9"/>
      <c r="F489" s="9"/>
      <c r="G489" s="9"/>
      <c r="H489" s="35"/>
      <c r="I489" s="9"/>
    </row>
    <row r="490" customFormat="false" ht="15" hidden="false" customHeight="false" outlineLevel="0" collapsed="false">
      <c r="A490" s="34"/>
      <c r="B490" s="9"/>
      <c r="C490" s="9"/>
      <c r="D490" s="9"/>
      <c r="E490" s="9"/>
      <c r="F490" s="9"/>
      <c r="G490" s="9"/>
      <c r="H490" s="35"/>
      <c r="I490" s="9"/>
    </row>
    <row r="491" customFormat="false" ht="15" hidden="false" customHeight="false" outlineLevel="0" collapsed="false">
      <c r="A491" s="34"/>
      <c r="B491" s="9"/>
      <c r="C491" s="9"/>
      <c r="D491" s="9"/>
      <c r="E491" s="9"/>
      <c r="F491" s="9"/>
      <c r="G491" s="9"/>
      <c r="H491" s="35"/>
      <c r="I491" s="9"/>
    </row>
    <row r="492" customFormat="false" ht="15" hidden="false" customHeight="false" outlineLevel="0" collapsed="false">
      <c r="A492" s="34"/>
      <c r="B492" s="9"/>
      <c r="C492" s="9"/>
      <c r="D492" s="9"/>
      <c r="E492" s="9"/>
      <c r="F492" s="9"/>
      <c r="G492" s="9"/>
      <c r="H492" s="35"/>
      <c r="I492" s="9"/>
    </row>
    <row r="493" customFormat="false" ht="15" hidden="false" customHeight="false" outlineLevel="0" collapsed="false">
      <c r="A493" s="34"/>
      <c r="B493" s="9"/>
      <c r="C493" s="9"/>
      <c r="D493" s="9"/>
      <c r="E493" s="9"/>
      <c r="F493" s="9"/>
      <c r="G493" s="9"/>
      <c r="H493" s="35"/>
      <c r="I493" s="9"/>
    </row>
    <row r="494" customFormat="false" ht="15" hidden="false" customHeight="false" outlineLevel="0" collapsed="false">
      <c r="A494" s="34"/>
      <c r="B494" s="9"/>
      <c r="C494" s="9"/>
      <c r="D494" s="9"/>
      <c r="E494" s="9"/>
      <c r="F494" s="9"/>
      <c r="G494" s="9"/>
      <c r="H494" s="35"/>
      <c r="I494" s="9"/>
    </row>
    <row r="495" customFormat="false" ht="15" hidden="false" customHeight="false" outlineLevel="0" collapsed="false">
      <c r="A495" s="34"/>
      <c r="B495" s="9"/>
      <c r="C495" s="9"/>
      <c r="D495" s="9"/>
      <c r="E495" s="9"/>
      <c r="F495" s="9"/>
      <c r="G495" s="9"/>
      <c r="H495" s="35"/>
      <c r="I495" s="9"/>
    </row>
    <row r="496" customFormat="false" ht="15" hidden="false" customHeight="false" outlineLevel="0" collapsed="false">
      <c r="A496" s="34"/>
      <c r="B496" s="9"/>
      <c r="C496" s="9"/>
      <c r="D496" s="9"/>
      <c r="E496" s="9"/>
      <c r="F496" s="9"/>
      <c r="G496" s="9"/>
      <c r="H496" s="35"/>
      <c r="I496" s="9"/>
    </row>
    <row r="497" customFormat="false" ht="15" hidden="false" customHeight="false" outlineLevel="0" collapsed="false">
      <c r="A497" s="34"/>
      <c r="B497" s="9"/>
      <c r="C497" s="9"/>
      <c r="D497" s="9"/>
      <c r="E497" s="9"/>
      <c r="F497" s="9"/>
      <c r="G497" s="9"/>
      <c r="H497" s="35"/>
      <c r="I497" s="9"/>
    </row>
    <row r="498" customFormat="false" ht="15" hidden="false" customHeight="false" outlineLevel="0" collapsed="false">
      <c r="A498" s="34"/>
      <c r="B498" s="9"/>
      <c r="C498" s="9"/>
      <c r="D498" s="9"/>
      <c r="E498" s="9"/>
      <c r="F498" s="9"/>
      <c r="G498" s="9"/>
      <c r="H498" s="35"/>
      <c r="I498" s="9"/>
    </row>
    <row r="499" customFormat="false" ht="15" hidden="false" customHeight="false" outlineLevel="0" collapsed="false">
      <c r="A499" s="34"/>
      <c r="B499" s="9"/>
      <c r="C499" s="9"/>
      <c r="D499" s="9"/>
      <c r="E499" s="9"/>
      <c r="F499" s="9"/>
      <c r="G499" s="9"/>
      <c r="H499" s="35"/>
      <c r="I499" s="9"/>
    </row>
    <row r="500" customFormat="false" ht="15" hidden="false" customHeight="false" outlineLevel="0" collapsed="false">
      <c r="A500" s="34"/>
      <c r="B500" s="9"/>
      <c r="C500" s="9"/>
      <c r="D500" s="9"/>
      <c r="E500" s="9"/>
      <c r="F500" s="9"/>
      <c r="G500" s="9"/>
      <c r="H500" s="35"/>
      <c r="I500" s="9"/>
    </row>
    <row r="501" customFormat="false" ht="15" hidden="false" customHeight="false" outlineLevel="0" collapsed="false">
      <c r="A501" s="34"/>
      <c r="B501" s="9"/>
      <c r="C501" s="9"/>
      <c r="D501" s="9"/>
      <c r="E501" s="9"/>
      <c r="F501" s="9"/>
      <c r="G501" s="9"/>
      <c r="H501" s="35"/>
      <c r="I501" s="9"/>
    </row>
    <row r="502" customFormat="false" ht="15" hidden="false" customHeight="false" outlineLevel="0" collapsed="false">
      <c r="A502" s="34"/>
      <c r="B502" s="9"/>
      <c r="C502" s="9"/>
      <c r="D502" s="9"/>
      <c r="E502" s="9"/>
      <c r="F502" s="9"/>
      <c r="G502" s="9"/>
      <c r="H502" s="35"/>
      <c r="I502" s="9"/>
    </row>
    <row r="503" customFormat="false" ht="15" hidden="false" customHeight="false" outlineLevel="0" collapsed="false">
      <c r="A503" s="34"/>
      <c r="B503" s="9"/>
      <c r="C503" s="9"/>
      <c r="D503" s="9"/>
      <c r="E503" s="9"/>
      <c r="F503" s="9"/>
      <c r="G503" s="9"/>
      <c r="H503" s="35"/>
      <c r="I503" s="9"/>
    </row>
    <row r="504" customFormat="false" ht="15" hidden="false" customHeight="false" outlineLevel="0" collapsed="false">
      <c r="A504" s="34"/>
      <c r="B504" s="9"/>
      <c r="C504" s="9"/>
      <c r="D504" s="9"/>
      <c r="E504" s="9"/>
      <c r="F504" s="9"/>
      <c r="G504" s="9"/>
      <c r="H504" s="35"/>
      <c r="I504" s="9"/>
    </row>
    <row r="505" customFormat="false" ht="15" hidden="false" customHeight="false" outlineLevel="0" collapsed="false">
      <c r="A505" s="34"/>
      <c r="B505" s="9"/>
      <c r="C505" s="9"/>
      <c r="D505" s="9"/>
      <c r="E505" s="9"/>
      <c r="F505" s="9"/>
      <c r="G505" s="9"/>
      <c r="H505" s="35"/>
      <c r="I505" s="9"/>
    </row>
    <row r="506" customFormat="false" ht="15" hidden="false" customHeight="false" outlineLevel="0" collapsed="false">
      <c r="A506" s="34"/>
      <c r="B506" s="9"/>
      <c r="C506" s="9"/>
      <c r="D506" s="9"/>
      <c r="E506" s="9"/>
      <c r="F506" s="9"/>
      <c r="G506" s="9"/>
      <c r="H506" s="35"/>
      <c r="I506" s="9"/>
    </row>
    <row r="507" customFormat="false" ht="15" hidden="false" customHeight="false" outlineLevel="0" collapsed="false">
      <c r="A507" s="34"/>
      <c r="B507" s="9"/>
      <c r="C507" s="9"/>
      <c r="D507" s="9"/>
      <c r="E507" s="9"/>
      <c r="F507" s="9"/>
      <c r="G507" s="9"/>
      <c r="H507" s="35"/>
      <c r="I507" s="9"/>
    </row>
    <row r="508" customFormat="false" ht="15" hidden="false" customHeight="false" outlineLevel="0" collapsed="false">
      <c r="A508" s="34"/>
      <c r="B508" s="9"/>
      <c r="C508" s="9"/>
      <c r="D508" s="9"/>
      <c r="E508" s="9"/>
      <c r="F508" s="9"/>
      <c r="G508" s="9"/>
      <c r="H508" s="35"/>
      <c r="I508" s="9"/>
    </row>
    <row r="509" customFormat="false" ht="15" hidden="false" customHeight="false" outlineLevel="0" collapsed="false">
      <c r="A509" s="34"/>
      <c r="B509" s="9"/>
      <c r="C509" s="9"/>
      <c r="D509" s="9"/>
      <c r="E509" s="9"/>
      <c r="F509" s="9"/>
      <c r="G509" s="9"/>
      <c r="H509" s="35"/>
      <c r="I509" s="9"/>
    </row>
    <row r="510" customFormat="false" ht="15" hidden="false" customHeight="false" outlineLevel="0" collapsed="false">
      <c r="A510" s="34"/>
      <c r="B510" s="9"/>
      <c r="C510" s="9"/>
      <c r="D510" s="9"/>
      <c r="E510" s="9"/>
      <c r="F510" s="9"/>
      <c r="G510" s="9"/>
      <c r="H510" s="35"/>
      <c r="I510" s="9"/>
    </row>
    <row r="511" customFormat="false" ht="15" hidden="false" customHeight="false" outlineLevel="0" collapsed="false">
      <c r="A511" s="34"/>
      <c r="B511" s="9"/>
      <c r="C511" s="9"/>
      <c r="D511" s="9"/>
      <c r="E511" s="9"/>
      <c r="F511" s="9"/>
      <c r="G511" s="9"/>
      <c r="H511" s="35"/>
      <c r="I511" s="9"/>
    </row>
    <row r="512" customFormat="false" ht="15" hidden="false" customHeight="false" outlineLevel="0" collapsed="false">
      <c r="A512" s="34"/>
      <c r="B512" s="9"/>
      <c r="C512" s="9"/>
      <c r="D512" s="9"/>
      <c r="E512" s="9"/>
      <c r="F512" s="9"/>
      <c r="G512" s="9"/>
      <c r="H512" s="35"/>
      <c r="I512" s="9"/>
    </row>
    <row r="513" customFormat="false" ht="15" hidden="false" customHeight="false" outlineLevel="0" collapsed="false">
      <c r="A513" s="34"/>
      <c r="B513" s="9"/>
      <c r="C513" s="9"/>
      <c r="D513" s="9"/>
      <c r="E513" s="9"/>
      <c r="F513" s="9"/>
      <c r="G513" s="9"/>
      <c r="H513" s="35"/>
      <c r="I513" s="9"/>
    </row>
    <row r="514" customFormat="false" ht="15" hidden="false" customHeight="false" outlineLevel="0" collapsed="false">
      <c r="A514" s="34"/>
      <c r="B514" s="9"/>
      <c r="C514" s="9"/>
      <c r="D514" s="9"/>
      <c r="E514" s="9"/>
      <c r="F514" s="9"/>
      <c r="G514" s="9"/>
      <c r="H514" s="35"/>
      <c r="I514" s="9"/>
    </row>
    <row r="515" customFormat="false" ht="15" hidden="false" customHeight="false" outlineLevel="0" collapsed="false">
      <c r="A515" s="34"/>
      <c r="B515" s="9"/>
      <c r="C515" s="9"/>
      <c r="D515" s="9"/>
      <c r="E515" s="9"/>
      <c r="F515" s="9"/>
      <c r="G515" s="9"/>
      <c r="H515" s="35"/>
      <c r="I515" s="9"/>
    </row>
    <row r="516" customFormat="false" ht="15" hidden="false" customHeight="false" outlineLevel="0" collapsed="false">
      <c r="A516" s="34"/>
      <c r="B516" s="9"/>
      <c r="C516" s="9"/>
      <c r="D516" s="9"/>
      <c r="E516" s="9"/>
      <c r="F516" s="9"/>
      <c r="G516" s="9"/>
      <c r="H516" s="35"/>
      <c r="I516" s="9"/>
    </row>
    <row r="517" customFormat="false" ht="15" hidden="false" customHeight="false" outlineLevel="0" collapsed="false">
      <c r="A517" s="34"/>
      <c r="B517" s="9"/>
      <c r="C517" s="9"/>
      <c r="D517" s="9"/>
      <c r="E517" s="9"/>
      <c r="F517" s="9"/>
      <c r="G517" s="9"/>
      <c r="H517" s="35"/>
      <c r="I517" s="9"/>
    </row>
    <row r="518" customFormat="false" ht="15" hidden="false" customHeight="false" outlineLevel="0" collapsed="false">
      <c r="A518" s="34"/>
      <c r="B518" s="9"/>
      <c r="C518" s="9"/>
      <c r="D518" s="9"/>
      <c r="E518" s="9"/>
      <c r="F518" s="9"/>
      <c r="G518" s="9"/>
      <c r="H518" s="35"/>
      <c r="I518" s="9"/>
    </row>
    <row r="519" customFormat="false" ht="15" hidden="false" customHeight="false" outlineLevel="0" collapsed="false">
      <c r="A519" s="34"/>
      <c r="B519" s="9"/>
      <c r="C519" s="9"/>
      <c r="D519" s="9"/>
      <c r="E519" s="9"/>
      <c r="F519" s="9"/>
      <c r="G519" s="9"/>
      <c r="H519" s="35"/>
      <c r="I519" s="9"/>
    </row>
    <row r="520" customFormat="false" ht="15" hidden="false" customHeight="false" outlineLevel="0" collapsed="false">
      <c r="A520" s="34"/>
      <c r="B520" s="9"/>
      <c r="C520" s="9"/>
      <c r="D520" s="9"/>
      <c r="E520" s="9"/>
      <c r="F520" s="9"/>
      <c r="G520" s="9"/>
      <c r="H520" s="35"/>
      <c r="I520" s="9"/>
    </row>
    <row r="521" customFormat="false" ht="15" hidden="false" customHeight="false" outlineLevel="0" collapsed="false">
      <c r="A521" s="34"/>
      <c r="B521" s="9"/>
      <c r="C521" s="9"/>
      <c r="D521" s="9"/>
      <c r="E521" s="9"/>
      <c r="F521" s="9"/>
      <c r="G521" s="9"/>
      <c r="H521" s="35"/>
      <c r="I521" s="9"/>
    </row>
    <row r="522" customFormat="false" ht="15" hidden="false" customHeight="false" outlineLevel="0" collapsed="false">
      <c r="A522" s="34"/>
      <c r="B522" s="9"/>
      <c r="C522" s="9"/>
      <c r="D522" s="9"/>
      <c r="E522" s="9"/>
      <c r="F522" s="9"/>
      <c r="G522" s="9"/>
      <c r="H522" s="35"/>
      <c r="I522" s="9"/>
    </row>
    <row r="523" customFormat="false" ht="15" hidden="false" customHeight="false" outlineLevel="0" collapsed="false">
      <c r="A523" s="34"/>
      <c r="B523" s="9"/>
      <c r="C523" s="9"/>
      <c r="D523" s="9"/>
      <c r="E523" s="9"/>
      <c r="F523" s="9"/>
      <c r="G523" s="9"/>
      <c r="H523" s="35"/>
      <c r="I523" s="9"/>
    </row>
    <row r="524" customFormat="false" ht="15" hidden="false" customHeight="false" outlineLevel="0" collapsed="false">
      <c r="A524" s="34"/>
      <c r="B524" s="9"/>
      <c r="C524" s="9"/>
      <c r="D524" s="9"/>
      <c r="E524" s="9"/>
      <c r="F524" s="9"/>
      <c r="G524" s="9"/>
      <c r="H524" s="35"/>
      <c r="I524" s="9"/>
    </row>
    <row r="525" customFormat="false" ht="15" hidden="false" customHeight="false" outlineLevel="0" collapsed="false">
      <c r="A525" s="34"/>
      <c r="B525" s="9"/>
      <c r="C525" s="9"/>
      <c r="D525" s="9"/>
      <c r="E525" s="9"/>
      <c r="F525" s="9"/>
      <c r="G525" s="9"/>
      <c r="H525" s="35"/>
      <c r="I525" s="9"/>
    </row>
    <row r="526" customFormat="false" ht="15" hidden="false" customHeight="false" outlineLevel="0" collapsed="false">
      <c r="A526" s="34"/>
      <c r="B526" s="9"/>
      <c r="C526" s="9"/>
      <c r="D526" s="9"/>
      <c r="E526" s="9"/>
      <c r="F526" s="9"/>
      <c r="G526" s="9"/>
      <c r="H526" s="35"/>
      <c r="I526" s="9"/>
    </row>
    <row r="527" customFormat="false" ht="15" hidden="false" customHeight="false" outlineLevel="0" collapsed="false">
      <c r="A527" s="34"/>
      <c r="B527" s="9"/>
      <c r="C527" s="9"/>
      <c r="D527" s="9"/>
      <c r="E527" s="9"/>
      <c r="F527" s="9"/>
      <c r="G527" s="9"/>
      <c r="H527" s="35"/>
      <c r="I527" s="9"/>
    </row>
    <row r="528" customFormat="false" ht="15" hidden="false" customHeight="false" outlineLevel="0" collapsed="false">
      <c r="A528" s="34"/>
      <c r="B528" s="9"/>
      <c r="C528" s="9"/>
      <c r="D528" s="9"/>
      <c r="E528" s="9"/>
      <c r="F528" s="9"/>
      <c r="G528" s="9"/>
      <c r="H528" s="35"/>
      <c r="I528" s="9"/>
    </row>
    <row r="529" customFormat="false" ht="15" hidden="false" customHeight="false" outlineLevel="0" collapsed="false">
      <c r="A529" s="34"/>
      <c r="B529" s="9"/>
      <c r="C529" s="9"/>
      <c r="D529" s="9"/>
      <c r="E529" s="9"/>
      <c r="F529" s="9"/>
      <c r="G529" s="9"/>
      <c r="H529" s="35"/>
      <c r="I529" s="9"/>
    </row>
    <row r="530" customFormat="false" ht="15" hidden="false" customHeight="false" outlineLevel="0" collapsed="false">
      <c r="A530" s="34"/>
      <c r="B530" s="9"/>
      <c r="C530" s="9"/>
      <c r="D530" s="9"/>
      <c r="E530" s="9"/>
      <c r="F530" s="9"/>
      <c r="G530" s="9"/>
      <c r="H530" s="35"/>
      <c r="I530" s="9"/>
    </row>
    <row r="531" customFormat="false" ht="15" hidden="false" customHeight="false" outlineLevel="0" collapsed="false">
      <c r="A531" s="34"/>
      <c r="B531" s="9"/>
      <c r="C531" s="9"/>
      <c r="D531" s="9"/>
      <c r="E531" s="9"/>
      <c r="F531" s="9"/>
      <c r="G531" s="9"/>
      <c r="H531" s="35"/>
      <c r="I531" s="9"/>
    </row>
    <row r="532" customFormat="false" ht="15" hidden="false" customHeight="false" outlineLevel="0" collapsed="false">
      <c r="A532" s="34"/>
      <c r="B532" s="9"/>
      <c r="C532" s="9"/>
      <c r="D532" s="9"/>
      <c r="E532" s="9"/>
      <c r="F532" s="9"/>
      <c r="G532" s="9"/>
      <c r="H532" s="35"/>
      <c r="I532" s="9"/>
    </row>
    <row r="533" customFormat="false" ht="15" hidden="false" customHeight="false" outlineLevel="0" collapsed="false">
      <c r="A533" s="34"/>
      <c r="B533" s="9"/>
      <c r="C533" s="9"/>
      <c r="D533" s="9"/>
      <c r="E533" s="9"/>
      <c r="F533" s="9"/>
      <c r="G533" s="9"/>
      <c r="H533" s="35"/>
      <c r="I533" s="9"/>
    </row>
    <row r="534" customFormat="false" ht="15" hidden="false" customHeight="false" outlineLevel="0" collapsed="false">
      <c r="A534" s="34"/>
      <c r="B534" s="9"/>
      <c r="C534" s="9"/>
      <c r="D534" s="9"/>
      <c r="E534" s="9"/>
      <c r="F534" s="9"/>
      <c r="G534" s="9"/>
      <c r="H534" s="35"/>
      <c r="I534" s="9"/>
    </row>
    <row r="535" customFormat="false" ht="15" hidden="false" customHeight="false" outlineLevel="0" collapsed="false">
      <c r="A535" s="34"/>
      <c r="B535" s="9"/>
      <c r="C535" s="9"/>
      <c r="D535" s="9"/>
      <c r="E535" s="9"/>
      <c r="F535" s="9"/>
      <c r="G535" s="9"/>
      <c r="H535" s="35"/>
      <c r="I535" s="9"/>
    </row>
    <row r="536" customFormat="false" ht="15" hidden="false" customHeight="false" outlineLevel="0" collapsed="false">
      <c r="A536" s="34"/>
      <c r="B536" s="9"/>
      <c r="C536" s="9"/>
      <c r="D536" s="9"/>
      <c r="E536" s="9"/>
      <c r="F536" s="9"/>
      <c r="G536" s="9"/>
      <c r="H536" s="35"/>
      <c r="I536" s="9"/>
    </row>
    <row r="537" customFormat="false" ht="15" hidden="false" customHeight="false" outlineLevel="0" collapsed="false">
      <c r="A537" s="34"/>
      <c r="B537" s="9"/>
      <c r="C537" s="9"/>
      <c r="D537" s="9"/>
      <c r="E537" s="9"/>
      <c r="F537" s="9"/>
      <c r="G537" s="9"/>
      <c r="H537" s="35"/>
      <c r="I537" s="9"/>
    </row>
    <row r="538" customFormat="false" ht="15" hidden="false" customHeight="false" outlineLevel="0" collapsed="false">
      <c r="A538" s="34"/>
      <c r="B538" s="9"/>
      <c r="C538" s="9"/>
      <c r="D538" s="9"/>
      <c r="E538" s="9"/>
      <c r="F538" s="9"/>
      <c r="G538" s="9"/>
      <c r="H538" s="35"/>
      <c r="I538" s="9"/>
    </row>
    <row r="539" customFormat="false" ht="15" hidden="false" customHeight="false" outlineLevel="0" collapsed="false">
      <c r="A539" s="34"/>
      <c r="B539" s="9"/>
      <c r="C539" s="9"/>
      <c r="D539" s="9"/>
      <c r="E539" s="9"/>
      <c r="F539" s="9"/>
      <c r="G539" s="9"/>
      <c r="H539" s="35"/>
      <c r="I539" s="9"/>
    </row>
    <row r="540" customFormat="false" ht="15" hidden="false" customHeight="false" outlineLevel="0" collapsed="false">
      <c r="A540" s="34"/>
      <c r="B540" s="9"/>
      <c r="C540" s="9"/>
      <c r="D540" s="9"/>
      <c r="E540" s="9"/>
      <c r="F540" s="9"/>
      <c r="G540" s="9"/>
      <c r="H540" s="35"/>
      <c r="I540" s="9"/>
    </row>
    <row r="541" customFormat="false" ht="15" hidden="false" customHeight="false" outlineLevel="0" collapsed="false">
      <c r="A541" s="34"/>
      <c r="B541" s="9"/>
      <c r="C541" s="9"/>
      <c r="D541" s="9"/>
      <c r="E541" s="9"/>
      <c r="F541" s="9"/>
      <c r="G541" s="9"/>
      <c r="H541" s="35"/>
      <c r="I541" s="9"/>
    </row>
    <row r="542" customFormat="false" ht="15" hidden="false" customHeight="false" outlineLevel="0" collapsed="false">
      <c r="A542" s="34"/>
      <c r="B542" s="9"/>
      <c r="C542" s="9"/>
      <c r="D542" s="9"/>
      <c r="E542" s="9"/>
      <c r="F542" s="9"/>
      <c r="G542" s="9"/>
      <c r="H542" s="35"/>
      <c r="I542" s="9"/>
    </row>
    <row r="543" customFormat="false" ht="15" hidden="false" customHeight="false" outlineLevel="0" collapsed="false">
      <c r="A543" s="34"/>
      <c r="B543" s="9"/>
      <c r="C543" s="9"/>
      <c r="D543" s="9"/>
      <c r="E543" s="9"/>
      <c r="F543" s="9"/>
      <c r="G543" s="9"/>
      <c r="H543" s="35"/>
      <c r="I543" s="9"/>
    </row>
    <row r="544" customFormat="false" ht="15" hidden="false" customHeight="false" outlineLevel="0" collapsed="false">
      <c r="A544" s="34"/>
      <c r="B544" s="9"/>
      <c r="C544" s="9"/>
      <c r="D544" s="9"/>
      <c r="E544" s="9"/>
      <c r="F544" s="9"/>
      <c r="G544" s="9"/>
      <c r="H544" s="35"/>
      <c r="I544" s="9"/>
    </row>
    <row r="545" customFormat="false" ht="15" hidden="false" customHeight="false" outlineLevel="0" collapsed="false">
      <c r="A545" s="34"/>
      <c r="B545" s="9"/>
      <c r="C545" s="9"/>
      <c r="D545" s="9"/>
      <c r="E545" s="9"/>
      <c r="F545" s="9"/>
      <c r="G545" s="9"/>
      <c r="H545" s="35"/>
      <c r="I545" s="9"/>
    </row>
    <row r="546" customFormat="false" ht="15" hidden="false" customHeight="false" outlineLevel="0" collapsed="false">
      <c r="A546" s="34"/>
      <c r="B546" s="9"/>
      <c r="C546" s="9"/>
      <c r="D546" s="9"/>
      <c r="E546" s="9"/>
      <c r="F546" s="9"/>
      <c r="G546" s="9"/>
      <c r="H546" s="35"/>
      <c r="I546" s="9"/>
    </row>
    <row r="547" customFormat="false" ht="15" hidden="false" customHeight="false" outlineLevel="0" collapsed="false">
      <c r="A547" s="34"/>
      <c r="B547" s="9"/>
      <c r="C547" s="9"/>
      <c r="D547" s="9"/>
      <c r="E547" s="9"/>
      <c r="F547" s="9"/>
      <c r="G547" s="9"/>
      <c r="H547" s="35"/>
      <c r="I547" s="9"/>
    </row>
    <row r="548" customFormat="false" ht="15" hidden="false" customHeight="false" outlineLevel="0" collapsed="false">
      <c r="A548" s="34"/>
      <c r="B548" s="9"/>
      <c r="C548" s="9"/>
      <c r="D548" s="9"/>
      <c r="E548" s="9"/>
      <c r="F548" s="9"/>
      <c r="G548" s="9"/>
      <c r="H548" s="35"/>
      <c r="I548" s="9"/>
    </row>
    <row r="549" customFormat="false" ht="15" hidden="false" customHeight="false" outlineLevel="0" collapsed="false">
      <c r="A549" s="34"/>
      <c r="B549" s="9"/>
      <c r="C549" s="9"/>
      <c r="D549" s="9"/>
      <c r="E549" s="9"/>
      <c r="F549" s="9"/>
      <c r="G549" s="9"/>
      <c r="H549" s="35"/>
      <c r="I549" s="9"/>
    </row>
    <row r="550" customFormat="false" ht="15" hidden="false" customHeight="false" outlineLevel="0" collapsed="false">
      <c r="A550" s="34"/>
      <c r="B550" s="9"/>
      <c r="C550" s="9"/>
      <c r="D550" s="9"/>
      <c r="E550" s="9"/>
      <c r="F550" s="9"/>
      <c r="G550" s="9"/>
      <c r="H550" s="35"/>
      <c r="I550" s="9"/>
    </row>
    <row r="551" customFormat="false" ht="15" hidden="false" customHeight="false" outlineLevel="0" collapsed="false">
      <c r="A551" s="34"/>
      <c r="B551" s="9"/>
      <c r="C551" s="9"/>
      <c r="D551" s="9"/>
      <c r="E551" s="9"/>
      <c r="F551" s="9"/>
      <c r="G551" s="9"/>
      <c r="H551" s="35"/>
      <c r="I551" s="9"/>
    </row>
    <row r="552" customFormat="false" ht="15" hidden="false" customHeight="false" outlineLevel="0" collapsed="false">
      <c r="A552" s="34"/>
      <c r="B552" s="9"/>
      <c r="C552" s="9"/>
      <c r="D552" s="9"/>
      <c r="E552" s="9"/>
      <c r="F552" s="9"/>
      <c r="G552" s="9"/>
      <c r="H552" s="35"/>
      <c r="I552" s="9"/>
    </row>
    <row r="553" customFormat="false" ht="15" hidden="false" customHeight="false" outlineLevel="0" collapsed="false">
      <c r="A553" s="34"/>
      <c r="B553" s="9"/>
      <c r="C553" s="9"/>
      <c r="D553" s="9"/>
      <c r="E553" s="9"/>
      <c r="F553" s="9"/>
      <c r="G553" s="9"/>
      <c r="H553" s="35"/>
      <c r="I553" s="9"/>
    </row>
    <row r="554" customFormat="false" ht="15" hidden="false" customHeight="false" outlineLevel="0" collapsed="false">
      <c r="A554" s="34"/>
      <c r="B554" s="9"/>
      <c r="C554" s="9"/>
      <c r="D554" s="9"/>
      <c r="E554" s="9"/>
      <c r="F554" s="9"/>
      <c r="G554" s="9"/>
      <c r="H554" s="35"/>
      <c r="I554" s="9"/>
    </row>
    <row r="555" customFormat="false" ht="15" hidden="false" customHeight="false" outlineLevel="0" collapsed="false">
      <c r="A555" s="34"/>
      <c r="B555" s="9"/>
      <c r="C555" s="9"/>
      <c r="D555" s="9"/>
      <c r="E555" s="9"/>
      <c r="F555" s="9"/>
      <c r="G555" s="9"/>
      <c r="H555" s="35"/>
      <c r="I555" s="9"/>
    </row>
    <row r="556" customFormat="false" ht="15" hidden="false" customHeight="false" outlineLevel="0" collapsed="false">
      <c r="A556" s="34"/>
      <c r="B556" s="9"/>
      <c r="C556" s="9"/>
      <c r="D556" s="9"/>
      <c r="E556" s="9"/>
      <c r="F556" s="9"/>
      <c r="G556" s="9"/>
      <c r="H556" s="35"/>
      <c r="I556" s="9"/>
    </row>
    <row r="557" customFormat="false" ht="15" hidden="false" customHeight="false" outlineLevel="0" collapsed="false">
      <c r="A557" s="34"/>
      <c r="B557" s="9"/>
      <c r="C557" s="9"/>
      <c r="D557" s="9"/>
      <c r="E557" s="9"/>
      <c r="F557" s="9"/>
      <c r="G557" s="9"/>
      <c r="H557" s="35"/>
      <c r="I557" s="9"/>
    </row>
    <row r="558" customFormat="false" ht="15" hidden="false" customHeight="false" outlineLevel="0" collapsed="false">
      <c r="A558" s="34"/>
      <c r="B558" s="9"/>
      <c r="C558" s="9"/>
      <c r="D558" s="9"/>
      <c r="E558" s="9"/>
      <c r="F558" s="9"/>
      <c r="G558" s="9"/>
      <c r="H558" s="35"/>
      <c r="I558" s="9"/>
    </row>
    <row r="559" customFormat="false" ht="15" hidden="false" customHeight="false" outlineLevel="0" collapsed="false">
      <c r="A559" s="34"/>
      <c r="B559" s="9"/>
      <c r="C559" s="9"/>
      <c r="D559" s="9"/>
      <c r="E559" s="9"/>
      <c r="F559" s="9"/>
      <c r="G559" s="9"/>
      <c r="H559" s="35"/>
      <c r="I559" s="9"/>
    </row>
    <row r="560" customFormat="false" ht="15" hidden="false" customHeight="false" outlineLevel="0" collapsed="false">
      <c r="A560" s="34"/>
      <c r="B560" s="9"/>
      <c r="C560" s="9"/>
      <c r="D560" s="9"/>
      <c r="E560" s="9"/>
      <c r="F560" s="9"/>
      <c r="G560" s="9"/>
      <c r="H560" s="35"/>
      <c r="I560" s="9"/>
    </row>
    <row r="561" customFormat="false" ht="15" hidden="false" customHeight="false" outlineLevel="0" collapsed="false">
      <c r="A561" s="34"/>
      <c r="B561" s="9"/>
      <c r="C561" s="9"/>
      <c r="D561" s="9"/>
      <c r="E561" s="9"/>
      <c r="F561" s="9"/>
      <c r="G561" s="9"/>
      <c r="H561" s="35"/>
      <c r="I561" s="9"/>
    </row>
    <row r="562" customFormat="false" ht="15" hidden="false" customHeight="false" outlineLevel="0" collapsed="false">
      <c r="A562" s="34"/>
      <c r="B562" s="9"/>
      <c r="C562" s="9"/>
      <c r="D562" s="9"/>
      <c r="E562" s="9"/>
      <c r="F562" s="9"/>
      <c r="G562" s="9"/>
      <c r="H562" s="35"/>
      <c r="I562" s="9"/>
    </row>
    <row r="563" customFormat="false" ht="15" hidden="false" customHeight="false" outlineLevel="0" collapsed="false">
      <c r="A563" s="34"/>
      <c r="B563" s="9"/>
      <c r="C563" s="9"/>
      <c r="D563" s="9"/>
      <c r="E563" s="9"/>
      <c r="F563" s="9"/>
      <c r="G563" s="9"/>
      <c r="H563" s="35"/>
      <c r="I563" s="9"/>
    </row>
    <row r="564" customFormat="false" ht="15" hidden="false" customHeight="false" outlineLevel="0" collapsed="false">
      <c r="A564" s="34"/>
      <c r="B564" s="9"/>
      <c r="C564" s="9"/>
      <c r="D564" s="9"/>
      <c r="E564" s="9"/>
      <c r="F564" s="9"/>
      <c r="G564" s="9"/>
      <c r="H564" s="35"/>
      <c r="I564" s="9"/>
    </row>
    <row r="565" customFormat="false" ht="15" hidden="false" customHeight="false" outlineLevel="0" collapsed="false">
      <c r="A565" s="34"/>
      <c r="B565" s="9"/>
      <c r="C565" s="9"/>
      <c r="D565" s="9"/>
      <c r="E565" s="9"/>
      <c r="F565" s="9"/>
      <c r="G565" s="9"/>
      <c r="H565" s="35"/>
      <c r="I565" s="9"/>
    </row>
    <row r="566" customFormat="false" ht="15" hidden="false" customHeight="false" outlineLevel="0" collapsed="false">
      <c r="A566" s="34"/>
      <c r="B566" s="9"/>
      <c r="C566" s="9"/>
      <c r="D566" s="9"/>
      <c r="E566" s="9"/>
      <c r="F566" s="9"/>
      <c r="G566" s="9"/>
      <c r="H566" s="35"/>
      <c r="I566" s="9"/>
    </row>
    <row r="567" customFormat="false" ht="15" hidden="false" customHeight="false" outlineLevel="0" collapsed="false">
      <c r="A567" s="34"/>
      <c r="B567" s="9"/>
      <c r="C567" s="9"/>
      <c r="D567" s="9"/>
      <c r="E567" s="9"/>
      <c r="F567" s="9"/>
      <c r="G567" s="9"/>
      <c r="H567" s="35"/>
      <c r="I567" s="9"/>
    </row>
    <row r="568" customFormat="false" ht="15" hidden="false" customHeight="false" outlineLevel="0" collapsed="false">
      <c r="A568" s="34"/>
      <c r="B568" s="9"/>
      <c r="C568" s="9"/>
      <c r="D568" s="9"/>
      <c r="E568" s="9"/>
      <c r="F568" s="9"/>
      <c r="G568" s="9"/>
      <c r="H568" s="35"/>
      <c r="I568" s="9"/>
    </row>
    <row r="569" customFormat="false" ht="15" hidden="false" customHeight="false" outlineLevel="0" collapsed="false">
      <c r="A569" s="34"/>
      <c r="B569" s="9"/>
      <c r="C569" s="9"/>
      <c r="D569" s="9"/>
      <c r="E569" s="9"/>
      <c r="F569" s="9"/>
      <c r="G569" s="9"/>
      <c r="H569" s="35"/>
      <c r="I569" s="9"/>
    </row>
    <row r="570" customFormat="false" ht="15" hidden="false" customHeight="false" outlineLevel="0" collapsed="false">
      <c r="A570" s="34"/>
      <c r="B570" s="9"/>
      <c r="C570" s="9"/>
      <c r="D570" s="9"/>
      <c r="E570" s="9"/>
      <c r="F570" s="9"/>
      <c r="G570" s="9"/>
      <c r="H570" s="35"/>
      <c r="I570" s="9"/>
    </row>
    <row r="571" customFormat="false" ht="15" hidden="false" customHeight="false" outlineLevel="0" collapsed="false">
      <c r="A571" s="34"/>
      <c r="B571" s="9"/>
      <c r="C571" s="9"/>
      <c r="D571" s="9"/>
      <c r="E571" s="9"/>
      <c r="F571" s="9"/>
      <c r="G571" s="9"/>
      <c r="H571" s="35"/>
      <c r="I571" s="9"/>
    </row>
    <row r="572" customFormat="false" ht="15" hidden="false" customHeight="false" outlineLevel="0" collapsed="false">
      <c r="A572" s="34"/>
      <c r="B572" s="9"/>
      <c r="C572" s="9"/>
      <c r="D572" s="9"/>
      <c r="E572" s="9"/>
      <c r="F572" s="9"/>
      <c r="G572" s="9"/>
      <c r="H572" s="35"/>
      <c r="I572" s="9"/>
    </row>
    <row r="573" customFormat="false" ht="15" hidden="false" customHeight="false" outlineLevel="0" collapsed="false">
      <c r="A573" s="34"/>
      <c r="B573" s="9"/>
      <c r="C573" s="9"/>
      <c r="D573" s="9"/>
      <c r="E573" s="9"/>
      <c r="F573" s="9"/>
      <c r="G573" s="9"/>
      <c r="H573" s="35"/>
      <c r="I573" s="9"/>
    </row>
    <row r="574" customFormat="false" ht="15" hidden="false" customHeight="false" outlineLevel="0" collapsed="false">
      <c r="A574" s="34"/>
      <c r="B574" s="9"/>
      <c r="C574" s="9"/>
      <c r="D574" s="9"/>
      <c r="E574" s="9"/>
      <c r="F574" s="9"/>
      <c r="G574" s="9"/>
      <c r="H574" s="35"/>
      <c r="I574" s="9"/>
    </row>
    <row r="575" customFormat="false" ht="15" hidden="false" customHeight="false" outlineLevel="0" collapsed="false">
      <c r="A575" s="34"/>
      <c r="B575" s="9"/>
      <c r="C575" s="9"/>
      <c r="D575" s="9"/>
      <c r="E575" s="9"/>
      <c r="F575" s="9"/>
      <c r="G575" s="9"/>
      <c r="H575" s="35"/>
      <c r="I575" s="9"/>
    </row>
    <row r="576" customFormat="false" ht="15" hidden="false" customHeight="false" outlineLevel="0" collapsed="false">
      <c r="A576" s="34"/>
      <c r="B576" s="9"/>
      <c r="C576" s="9"/>
      <c r="D576" s="9"/>
      <c r="E576" s="9"/>
      <c r="F576" s="9"/>
      <c r="G576" s="9"/>
      <c r="H576" s="35"/>
      <c r="I576" s="9"/>
    </row>
    <row r="577" customFormat="false" ht="15" hidden="false" customHeight="false" outlineLevel="0" collapsed="false">
      <c r="A577" s="34"/>
      <c r="B577" s="9"/>
      <c r="C577" s="9"/>
      <c r="D577" s="9"/>
      <c r="E577" s="9"/>
      <c r="F577" s="9"/>
      <c r="G577" s="9"/>
      <c r="H577" s="35"/>
      <c r="I577" s="9"/>
    </row>
    <row r="578" customFormat="false" ht="15" hidden="false" customHeight="false" outlineLevel="0" collapsed="false">
      <c r="A578" s="34"/>
      <c r="B578" s="9"/>
      <c r="C578" s="9"/>
      <c r="D578" s="9"/>
      <c r="E578" s="9"/>
      <c r="F578" s="9"/>
      <c r="G578" s="9"/>
      <c r="H578" s="35"/>
      <c r="I578" s="9"/>
    </row>
    <row r="579" customFormat="false" ht="15" hidden="false" customHeight="false" outlineLevel="0" collapsed="false">
      <c r="A579" s="34"/>
      <c r="B579" s="9"/>
      <c r="C579" s="9"/>
      <c r="D579" s="9"/>
      <c r="E579" s="9"/>
      <c r="F579" s="9"/>
      <c r="G579" s="9"/>
      <c r="H579" s="35"/>
      <c r="I579" s="9"/>
    </row>
    <row r="580" customFormat="false" ht="15" hidden="false" customHeight="false" outlineLevel="0" collapsed="false">
      <c r="A580" s="34"/>
      <c r="B580" s="9"/>
      <c r="C580" s="9"/>
      <c r="D580" s="9"/>
      <c r="E580" s="9"/>
      <c r="F580" s="9"/>
      <c r="G580" s="9"/>
      <c r="H580" s="35"/>
      <c r="I580" s="9"/>
    </row>
    <row r="581" customFormat="false" ht="15" hidden="false" customHeight="false" outlineLevel="0" collapsed="false">
      <c r="A581" s="34"/>
      <c r="B581" s="9"/>
      <c r="C581" s="9"/>
      <c r="D581" s="9"/>
      <c r="E581" s="9"/>
      <c r="F581" s="9"/>
      <c r="G581" s="9"/>
      <c r="H581" s="35"/>
      <c r="I581" s="9"/>
    </row>
    <row r="582" customFormat="false" ht="15" hidden="false" customHeight="false" outlineLevel="0" collapsed="false">
      <c r="A582" s="34"/>
      <c r="B582" s="9"/>
      <c r="C582" s="9"/>
      <c r="D582" s="9"/>
      <c r="E582" s="9"/>
      <c r="F582" s="9"/>
      <c r="G582" s="9"/>
      <c r="H582" s="35"/>
      <c r="I582" s="9"/>
    </row>
    <row r="583" customFormat="false" ht="15" hidden="false" customHeight="false" outlineLevel="0" collapsed="false">
      <c r="A583" s="34"/>
      <c r="B583" s="9"/>
      <c r="C583" s="9"/>
      <c r="D583" s="9"/>
      <c r="E583" s="9"/>
      <c r="F583" s="9"/>
      <c r="G583" s="9"/>
      <c r="H583" s="35"/>
      <c r="I583" s="9"/>
    </row>
    <row r="584" customFormat="false" ht="15" hidden="false" customHeight="false" outlineLevel="0" collapsed="false">
      <c r="A584" s="34"/>
      <c r="B584" s="9"/>
      <c r="C584" s="9"/>
      <c r="D584" s="9"/>
      <c r="E584" s="9"/>
      <c r="F584" s="9"/>
      <c r="G584" s="9"/>
      <c r="H584" s="35"/>
      <c r="I584" s="9"/>
    </row>
    <row r="585" customFormat="false" ht="15" hidden="false" customHeight="false" outlineLevel="0" collapsed="false">
      <c r="A585" s="34"/>
      <c r="B585" s="9"/>
      <c r="C585" s="9"/>
      <c r="D585" s="9"/>
      <c r="E585" s="9"/>
      <c r="F585" s="9"/>
      <c r="G585" s="9"/>
      <c r="H585" s="35"/>
      <c r="I585" s="9"/>
    </row>
    <row r="586" customFormat="false" ht="15" hidden="false" customHeight="false" outlineLevel="0" collapsed="false">
      <c r="A586" s="34"/>
      <c r="B586" s="9"/>
      <c r="C586" s="9"/>
      <c r="D586" s="9"/>
      <c r="E586" s="9"/>
      <c r="F586" s="9"/>
      <c r="G586" s="9"/>
      <c r="H586" s="35"/>
      <c r="I586" s="9"/>
    </row>
    <row r="587" customFormat="false" ht="15" hidden="false" customHeight="false" outlineLevel="0" collapsed="false">
      <c r="A587" s="34"/>
      <c r="B587" s="9"/>
      <c r="C587" s="9"/>
      <c r="D587" s="9"/>
      <c r="E587" s="9"/>
      <c r="F587" s="9"/>
      <c r="G587" s="9"/>
      <c r="H587" s="35"/>
      <c r="I587" s="9"/>
    </row>
    <row r="588" customFormat="false" ht="15" hidden="false" customHeight="false" outlineLevel="0" collapsed="false">
      <c r="A588" s="34"/>
      <c r="B588" s="9"/>
      <c r="C588" s="9"/>
      <c r="D588" s="9"/>
      <c r="E588" s="9"/>
      <c r="F588" s="9"/>
      <c r="G588" s="9"/>
      <c r="H588" s="35"/>
      <c r="I588" s="9"/>
    </row>
    <row r="589" customFormat="false" ht="15" hidden="false" customHeight="false" outlineLevel="0" collapsed="false">
      <c r="A589" s="34"/>
      <c r="B589" s="9"/>
      <c r="C589" s="9"/>
      <c r="D589" s="9"/>
      <c r="E589" s="9"/>
      <c r="F589" s="9"/>
      <c r="G589" s="9"/>
      <c r="H589" s="35"/>
      <c r="I589" s="9"/>
    </row>
    <row r="590" customFormat="false" ht="15" hidden="false" customHeight="false" outlineLevel="0" collapsed="false">
      <c r="A590" s="34"/>
      <c r="B590" s="9"/>
      <c r="C590" s="9"/>
      <c r="D590" s="9"/>
      <c r="E590" s="9"/>
      <c r="F590" s="9"/>
      <c r="G590" s="9"/>
      <c r="H590" s="35"/>
      <c r="I590" s="9"/>
    </row>
    <row r="591" customFormat="false" ht="15" hidden="false" customHeight="false" outlineLevel="0" collapsed="false">
      <c r="A591" s="34"/>
      <c r="B591" s="9"/>
      <c r="C591" s="9"/>
      <c r="D591" s="9"/>
      <c r="E591" s="9"/>
      <c r="F591" s="9"/>
      <c r="G591" s="9"/>
      <c r="H591" s="35"/>
      <c r="I591" s="9"/>
    </row>
    <row r="592" customFormat="false" ht="15" hidden="false" customHeight="false" outlineLevel="0" collapsed="false">
      <c r="A592" s="34"/>
      <c r="B592" s="9"/>
      <c r="C592" s="9"/>
      <c r="D592" s="9"/>
      <c r="E592" s="9"/>
      <c r="F592" s="9"/>
      <c r="G592" s="9"/>
      <c r="H592" s="35"/>
      <c r="I592" s="9"/>
    </row>
    <row r="593" customFormat="false" ht="15" hidden="false" customHeight="false" outlineLevel="0" collapsed="false">
      <c r="A593" s="34"/>
      <c r="B593" s="9"/>
      <c r="C593" s="9"/>
      <c r="D593" s="9"/>
      <c r="E593" s="9"/>
      <c r="F593" s="9"/>
      <c r="G593" s="9"/>
      <c r="H593" s="35"/>
      <c r="I593" s="9"/>
    </row>
    <row r="594" customFormat="false" ht="15" hidden="false" customHeight="false" outlineLevel="0" collapsed="false">
      <c r="A594" s="34"/>
      <c r="B594" s="9"/>
      <c r="C594" s="9"/>
      <c r="D594" s="9"/>
      <c r="E594" s="9"/>
      <c r="F594" s="9"/>
      <c r="G594" s="9"/>
      <c r="H594" s="35"/>
      <c r="I594" s="9"/>
    </row>
    <row r="595" customFormat="false" ht="15" hidden="false" customHeight="false" outlineLevel="0" collapsed="false">
      <c r="A595" s="34"/>
      <c r="B595" s="9"/>
      <c r="C595" s="9"/>
      <c r="D595" s="9"/>
      <c r="E595" s="9"/>
      <c r="F595" s="9"/>
      <c r="G595" s="9"/>
      <c r="H595" s="35"/>
      <c r="I595" s="9"/>
    </row>
    <row r="596" customFormat="false" ht="15" hidden="false" customHeight="false" outlineLevel="0" collapsed="false">
      <c r="A596" s="34"/>
      <c r="B596" s="9"/>
      <c r="C596" s="9"/>
      <c r="D596" s="9"/>
      <c r="E596" s="9"/>
      <c r="F596" s="9"/>
      <c r="G596" s="9"/>
      <c r="H596" s="35"/>
      <c r="I596" s="9"/>
    </row>
    <row r="597" customFormat="false" ht="15" hidden="false" customHeight="false" outlineLevel="0" collapsed="false">
      <c r="A597" s="34"/>
      <c r="B597" s="9"/>
      <c r="C597" s="9"/>
      <c r="D597" s="9"/>
      <c r="E597" s="9"/>
      <c r="F597" s="9"/>
      <c r="G597" s="9"/>
      <c r="H597" s="35"/>
      <c r="I597" s="9"/>
    </row>
    <row r="598" customFormat="false" ht="15" hidden="false" customHeight="false" outlineLevel="0" collapsed="false">
      <c r="A598" s="34"/>
      <c r="B598" s="9"/>
      <c r="C598" s="9"/>
      <c r="D598" s="9"/>
      <c r="E598" s="9"/>
      <c r="F598" s="9"/>
      <c r="G598" s="9"/>
      <c r="H598" s="35"/>
      <c r="I598" s="9"/>
    </row>
    <row r="599" customFormat="false" ht="15" hidden="false" customHeight="false" outlineLevel="0" collapsed="false">
      <c r="A599" s="34"/>
      <c r="B599" s="9"/>
      <c r="C599" s="9"/>
      <c r="D599" s="9"/>
      <c r="E599" s="9"/>
      <c r="F599" s="9"/>
      <c r="G599" s="9"/>
      <c r="H599" s="35"/>
      <c r="I599" s="9"/>
    </row>
    <row r="600" customFormat="false" ht="15" hidden="false" customHeight="false" outlineLevel="0" collapsed="false">
      <c r="A600" s="34"/>
      <c r="B600" s="9"/>
      <c r="C600" s="9"/>
      <c r="D600" s="9"/>
      <c r="E600" s="9"/>
      <c r="F600" s="9"/>
      <c r="G600" s="9"/>
      <c r="H600" s="35"/>
      <c r="I600" s="9"/>
    </row>
    <row r="601" customFormat="false" ht="15" hidden="false" customHeight="false" outlineLevel="0" collapsed="false">
      <c r="A601" s="34"/>
      <c r="B601" s="9"/>
      <c r="C601" s="9"/>
      <c r="D601" s="9"/>
      <c r="E601" s="9"/>
      <c r="F601" s="9"/>
      <c r="G601" s="9"/>
      <c r="H601" s="35"/>
      <c r="I601" s="9"/>
    </row>
    <row r="602" customFormat="false" ht="15" hidden="false" customHeight="false" outlineLevel="0" collapsed="false">
      <c r="A602" s="34"/>
      <c r="B602" s="9"/>
      <c r="C602" s="9"/>
      <c r="D602" s="9"/>
      <c r="E602" s="9"/>
      <c r="F602" s="9"/>
      <c r="G602" s="9"/>
      <c r="H602" s="35"/>
      <c r="I602" s="9"/>
    </row>
    <row r="603" customFormat="false" ht="15" hidden="false" customHeight="false" outlineLevel="0" collapsed="false">
      <c r="A603" s="34"/>
      <c r="B603" s="9"/>
      <c r="C603" s="9"/>
      <c r="D603" s="9"/>
      <c r="E603" s="9"/>
      <c r="F603" s="9"/>
      <c r="G603" s="9"/>
      <c r="H603" s="35"/>
      <c r="I603" s="9"/>
    </row>
    <row r="604" customFormat="false" ht="15" hidden="false" customHeight="false" outlineLevel="0" collapsed="false">
      <c r="A604" s="34"/>
      <c r="B604" s="9"/>
      <c r="C604" s="9"/>
      <c r="D604" s="9"/>
      <c r="E604" s="9"/>
      <c r="F604" s="9"/>
      <c r="G604" s="9"/>
      <c r="H604" s="35"/>
      <c r="I604" s="9"/>
    </row>
    <row r="605" customFormat="false" ht="15" hidden="false" customHeight="false" outlineLevel="0" collapsed="false">
      <c r="A605" s="34"/>
      <c r="B605" s="9"/>
      <c r="C605" s="9"/>
      <c r="D605" s="9"/>
      <c r="E605" s="9"/>
      <c r="F605" s="9"/>
      <c r="G605" s="9"/>
      <c r="H605" s="35"/>
      <c r="I605" s="9"/>
    </row>
    <row r="606" customFormat="false" ht="15" hidden="false" customHeight="false" outlineLevel="0" collapsed="false">
      <c r="A606" s="34"/>
      <c r="B606" s="9"/>
      <c r="C606" s="9"/>
      <c r="D606" s="9"/>
      <c r="E606" s="9"/>
      <c r="F606" s="9"/>
      <c r="G606" s="9"/>
      <c r="H606" s="35"/>
      <c r="I606" s="9"/>
    </row>
    <row r="607" customFormat="false" ht="15" hidden="false" customHeight="false" outlineLevel="0" collapsed="false">
      <c r="A607" s="34"/>
      <c r="B607" s="9"/>
      <c r="C607" s="9"/>
      <c r="D607" s="9"/>
      <c r="E607" s="9"/>
      <c r="F607" s="9"/>
      <c r="G607" s="9"/>
      <c r="H607" s="35"/>
      <c r="I607" s="9"/>
    </row>
    <row r="608" customFormat="false" ht="15" hidden="false" customHeight="false" outlineLevel="0" collapsed="false">
      <c r="A608" s="34"/>
      <c r="B608" s="9"/>
      <c r="C608" s="9"/>
      <c r="D608" s="9"/>
      <c r="E608" s="9"/>
      <c r="F608" s="9"/>
      <c r="G608" s="9"/>
      <c r="H608" s="35"/>
      <c r="I608" s="9"/>
    </row>
    <row r="609" customFormat="false" ht="15" hidden="false" customHeight="false" outlineLevel="0" collapsed="false">
      <c r="A609" s="34"/>
      <c r="B609" s="9"/>
      <c r="C609" s="9"/>
      <c r="D609" s="9"/>
      <c r="E609" s="9"/>
      <c r="F609" s="9"/>
      <c r="G609" s="9"/>
      <c r="H609" s="35"/>
      <c r="I609" s="9"/>
    </row>
    <row r="610" customFormat="false" ht="15" hidden="false" customHeight="false" outlineLevel="0" collapsed="false">
      <c r="A610" s="34"/>
      <c r="B610" s="9"/>
      <c r="C610" s="9"/>
      <c r="D610" s="9"/>
      <c r="E610" s="9"/>
      <c r="F610" s="9"/>
      <c r="G610" s="9"/>
      <c r="H610" s="35"/>
      <c r="I610" s="9"/>
    </row>
    <row r="611" customFormat="false" ht="15" hidden="false" customHeight="false" outlineLevel="0" collapsed="false">
      <c r="A611" s="34"/>
      <c r="B611" s="9"/>
      <c r="C611" s="9"/>
      <c r="D611" s="9"/>
      <c r="E611" s="9"/>
      <c r="F611" s="9"/>
      <c r="G611" s="9"/>
      <c r="H611" s="35"/>
      <c r="I611" s="9"/>
    </row>
    <row r="612" customFormat="false" ht="15" hidden="false" customHeight="false" outlineLevel="0" collapsed="false">
      <c r="A612" s="34"/>
      <c r="B612" s="9"/>
      <c r="C612" s="9"/>
      <c r="D612" s="9"/>
      <c r="E612" s="9"/>
      <c r="F612" s="9"/>
      <c r="G612" s="9"/>
      <c r="H612" s="35"/>
      <c r="I612" s="9"/>
    </row>
    <row r="613" customFormat="false" ht="15" hidden="false" customHeight="false" outlineLevel="0" collapsed="false">
      <c r="A613" s="34"/>
      <c r="B613" s="9"/>
      <c r="C613" s="9"/>
      <c r="D613" s="9"/>
      <c r="E613" s="9"/>
      <c r="F613" s="9"/>
      <c r="G613" s="9"/>
      <c r="H613" s="35"/>
      <c r="I613" s="9"/>
    </row>
    <row r="614" customFormat="false" ht="15" hidden="false" customHeight="false" outlineLevel="0" collapsed="false">
      <c r="A614" s="34"/>
      <c r="B614" s="9"/>
      <c r="C614" s="9"/>
      <c r="D614" s="9"/>
      <c r="E614" s="9"/>
      <c r="F614" s="9"/>
      <c r="G614" s="9"/>
      <c r="H614" s="35"/>
      <c r="I614" s="9"/>
    </row>
    <row r="615" customFormat="false" ht="15" hidden="false" customHeight="false" outlineLevel="0" collapsed="false">
      <c r="A615" s="34"/>
      <c r="B615" s="9"/>
      <c r="C615" s="9"/>
      <c r="D615" s="9"/>
      <c r="E615" s="9"/>
      <c r="F615" s="9"/>
      <c r="G615" s="9"/>
      <c r="H615" s="35"/>
      <c r="I615" s="9"/>
    </row>
    <row r="616" customFormat="false" ht="15" hidden="false" customHeight="false" outlineLevel="0" collapsed="false">
      <c r="A616" s="34"/>
      <c r="B616" s="9"/>
      <c r="C616" s="9"/>
      <c r="D616" s="9"/>
      <c r="E616" s="9"/>
      <c r="F616" s="9"/>
      <c r="G616" s="9"/>
      <c r="H616" s="35"/>
      <c r="I616" s="9"/>
    </row>
    <row r="617" customFormat="false" ht="15" hidden="false" customHeight="false" outlineLevel="0" collapsed="false">
      <c r="A617" s="34"/>
      <c r="B617" s="9"/>
      <c r="C617" s="9"/>
      <c r="D617" s="9"/>
      <c r="E617" s="9"/>
      <c r="F617" s="9"/>
      <c r="G617" s="9"/>
      <c r="H617" s="35"/>
      <c r="I617" s="9"/>
    </row>
    <row r="618" customFormat="false" ht="15" hidden="false" customHeight="false" outlineLevel="0" collapsed="false">
      <c r="A618" s="34"/>
      <c r="B618" s="9"/>
      <c r="C618" s="9"/>
      <c r="D618" s="9"/>
      <c r="E618" s="9"/>
      <c r="F618" s="9"/>
      <c r="G618" s="9"/>
      <c r="H618" s="35"/>
      <c r="I618" s="9"/>
    </row>
    <row r="619" customFormat="false" ht="15" hidden="false" customHeight="false" outlineLevel="0" collapsed="false">
      <c r="A619" s="34"/>
      <c r="B619" s="9"/>
      <c r="C619" s="9"/>
      <c r="D619" s="9"/>
      <c r="E619" s="9"/>
      <c r="F619" s="9"/>
      <c r="G619" s="9"/>
      <c r="H619" s="35"/>
      <c r="I619" s="9"/>
    </row>
    <row r="620" customFormat="false" ht="15" hidden="false" customHeight="false" outlineLevel="0" collapsed="false">
      <c r="A620" s="34"/>
      <c r="B620" s="9"/>
      <c r="C620" s="9"/>
      <c r="D620" s="9"/>
      <c r="E620" s="9"/>
      <c r="F620" s="9"/>
      <c r="G620" s="9"/>
      <c r="H620" s="35"/>
      <c r="I620" s="9"/>
    </row>
    <row r="621" customFormat="false" ht="15" hidden="false" customHeight="false" outlineLevel="0" collapsed="false">
      <c r="A621" s="34"/>
      <c r="B621" s="9"/>
      <c r="C621" s="9"/>
      <c r="D621" s="9"/>
      <c r="E621" s="9"/>
      <c r="F621" s="9"/>
      <c r="G621" s="9"/>
      <c r="H621" s="35"/>
      <c r="I621" s="9"/>
    </row>
    <row r="622" customFormat="false" ht="15" hidden="false" customHeight="false" outlineLevel="0" collapsed="false">
      <c r="A622" s="34"/>
      <c r="B622" s="9"/>
      <c r="C622" s="9"/>
      <c r="D622" s="9"/>
      <c r="E622" s="9"/>
      <c r="F622" s="9"/>
      <c r="G622" s="9"/>
      <c r="H622" s="35"/>
      <c r="I622" s="9"/>
    </row>
    <row r="623" customFormat="false" ht="15" hidden="false" customHeight="false" outlineLevel="0" collapsed="false">
      <c r="A623" s="34"/>
      <c r="B623" s="9"/>
      <c r="C623" s="9"/>
      <c r="D623" s="9"/>
      <c r="E623" s="9"/>
      <c r="F623" s="9"/>
      <c r="G623" s="9"/>
      <c r="H623" s="35"/>
      <c r="I623" s="9"/>
    </row>
    <row r="624" customFormat="false" ht="15" hidden="false" customHeight="false" outlineLevel="0" collapsed="false">
      <c r="A624" s="34"/>
      <c r="B624" s="9"/>
      <c r="C624" s="9"/>
      <c r="D624" s="9"/>
      <c r="E624" s="9"/>
      <c r="F624" s="9"/>
      <c r="G624" s="9"/>
      <c r="H624" s="35"/>
      <c r="I624" s="9"/>
    </row>
    <row r="625" customFormat="false" ht="15" hidden="false" customHeight="false" outlineLevel="0" collapsed="false">
      <c r="A625" s="34"/>
      <c r="B625" s="9"/>
      <c r="C625" s="9"/>
      <c r="D625" s="9"/>
      <c r="E625" s="9"/>
      <c r="F625" s="9"/>
      <c r="G625" s="9"/>
      <c r="H625" s="35"/>
      <c r="I625" s="9"/>
    </row>
    <row r="626" customFormat="false" ht="15" hidden="false" customHeight="false" outlineLevel="0" collapsed="false">
      <c r="A626" s="34"/>
      <c r="B626" s="9"/>
      <c r="C626" s="9"/>
      <c r="D626" s="9"/>
      <c r="E626" s="9"/>
      <c r="F626" s="9"/>
      <c r="G626" s="9"/>
      <c r="H626" s="35"/>
      <c r="I626" s="9"/>
    </row>
    <row r="627" customFormat="false" ht="15" hidden="false" customHeight="false" outlineLevel="0" collapsed="false">
      <c r="A627" s="34"/>
      <c r="B627" s="9"/>
      <c r="C627" s="9"/>
      <c r="D627" s="9"/>
      <c r="E627" s="9"/>
      <c r="F627" s="9"/>
      <c r="G627" s="9"/>
      <c r="H627" s="35"/>
      <c r="I627" s="9"/>
    </row>
    <row r="628" customFormat="false" ht="15" hidden="false" customHeight="false" outlineLevel="0" collapsed="false">
      <c r="A628" s="34"/>
      <c r="B628" s="9"/>
      <c r="C628" s="9"/>
      <c r="D628" s="9"/>
      <c r="E628" s="9"/>
      <c r="F628" s="9"/>
      <c r="G628" s="9"/>
      <c r="H628" s="35"/>
      <c r="I628" s="9"/>
    </row>
    <row r="629" customFormat="false" ht="15" hidden="false" customHeight="false" outlineLevel="0" collapsed="false">
      <c r="A629" s="34"/>
      <c r="B629" s="9"/>
      <c r="C629" s="9"/>
      <c r="D629" s="9"/>
      <c r="E629" s="9"/>
      <c r="F629" s="9"/>
      <c r="G629" s="9"/>
      <c r="H629" s="35"/>
      <c r="I629" s="9"/>
    </row>
    <row r="630" customFormat="false" ht="15" hidden="false" customHeight="false" outlineLevel="0" collapsed="false">
      <c r="A630" s="34"/>
      <c r="B630" s="9"/>
      <c r="C630" s="9"/>
      <c r="D630" s="9"/>
      <c r="E630" s="9"/>
      <c r="F630" s="9"/>
      <c r="G630" s="9"/>
      <c r="H630" s="35"/>
      <c r="I630" s="9"/>
    </row>
    <row r="631" customFormat="false" ht="15" hidden="false" customHeight="false" outlineLevel="0" collapsed="false">
      <c r="A631" s="34"/>
      <c r="B631" s="9"/>
      <c r="C631" s="9"/>
      <c r="D631" s="9"/>
      <c r="E631" s="9"/>
      <c r="F631" s="9"/>
      <c r="G631" s="9"/>
      <c r="H631" s="35"/>
      <c r="I631" s="9"/>
    </row>
    <row r="632" customFormat="false" ht="15" hidden="false" customHeight="false" outlineLevel="0" collapsed="false">
      <c r="A632" s="34"/>
      <c r="B632" s="9"/>
      <c r="C632" s="9"/>
      <c r="D632" s="9"/>
      <c r="E632" s="9"/>
      <c r="F632" s="9"/>
      <c r="G632" s="9"/>
      <c r="H632" s="35"/>
      <c r="I632" s="9"/>
    </row>
    <row r="633" customFormat="false" ht="15" hidden="false" customHeight="false" outlineLevel="0" collapsed="false">
      <c r="A633" s="34"/>
      <c r="B633" s="9"/>
      <c r="C633" s="9"/>
      <c r="D633" s="9"/>
      <c r="E633" s="9"/>
      <c r="F633" s="9"/>
      <c r="G633" s="9"/>
      <c r="H633" s="35"/>
      <c r="I633" s="9"/>
    </row>
    <row r="634" customFormat="false" ht="15" hidden="false" customHeight="false" outlineLevel="0" collapsed="false">
      <c r="A634" s="34"/>
      <c r="B634" s="9"/>
      <c r="C634" s="9"/>
      <c r="D634" s="9"/>
      <c r="E634" s="9"/>
      <c r="F634" s="9"/>
      <c r="G634" s="9"/>
      <c r="H634" s="35"/>
      <c r="I634" s="9"/>
    </row>
    <row r="635" customFormat="false" ht="15" hidden="false" customHeight="false" outlineLevel="0" collapsed="false">
      <c r="A635" s="34"/>
      <c r="B635" s="9"/>
      <c r="C635" s="9"/>
      <c r="D635" s="9"/>
      <c r="E635" s="9"/>
      <c r="F635" s="9"/>
      <c r="G635" s="9"/>
      <c r="H635" s="35"/>
      <c r="I635" s="9"/>
    </row>
    <row r="636" customFormat="false" ht="15" hidden="false" customHeight="false" outlineLevel="0" collapsed="false">
      <c r="A636" s="34"/>
      <c r="B636" s="9"/>
      <c r="C636" s="9"/>
      <c r="D636" s="9"/>
      <c r="E636" s="9"/>
      <c r="F636" s="9"/>
      <c r="G636" s="9"/>
      <c r="H636" s="35"/>
      <c r="I636" s="9"/>
    </row>
    <row r="637" customFormat="false" ht="15" hidden="false" customHeight="false" outlineLevel="0" collapsed="false">
      <c r="A637" s="34"/>
      <c r="B637" s="9"/>
      <c r="C637" s="9"/>
      <c r="D637" s="9"/>
      <c r="E637" s="9"/>
      <c r="F637" s="9"/>
      <c r="G637" s="9"/>
      <c r="H637" s="35"/>
      <c r="I637" s="9"/>
    </row>
    <row r="638" customFormat="false" ht="15" hidden="false" customHeight="false" outlineLevel="0" collapsed="false">
      <c r="A638" s="34"/>
      <c r="B638" s="9"/>
      <c r="C638" s="9"/>
      <c r="D638" s="9"/>
      <c r="E638" s="9"/>
      <c r="F638" s="9"/>
      <c r="G638" s="9"/>
      <c r="H638" s="35"/>
      <c r="I638" s="9"/>
    </row>
    <row r="639" customFormat="false" ht="15" hidden="false" customHeight="false" outlineLevel="0" collapsed="false">
      <c r="A639" s="34"/>
      <c r="B639" s="9"/>
      <c r="C639" s="9"/>
      <c r="D639" s="9"/>
      <c r="E639" s="9"/>
      <c r="F639" s="9"/>
      <c r="G639" s="9"/>
      <c r="H639" s="35"/>
      <c r="I639" s="9"/>
    </row>
    <row r="640" customFormat="false" ht="15" hidden="false" customHeight="false" outlineLevel="0" collapsed="false">
      <c r="A640" s="34"/>
      <c r="B640" s="9"/>
      <c r="C640" s="9"/>
      <c r="D640" s="9"/>
      <c r="E640" s="9"/>
      <c r="F640" s="9"/>
      <c r="G640" s="9"/>
      <c r="H640" s="35"/>
      <c r="I640" s="9"/>
    </row>
    <row r="641" customFormat="false" ht="15" hidden="false" customHeight="false" outlineLevel="0" collapsed="false">
      <c r="A641" s="34"/>
      <c r="B641" s="9"/>
      <c r="C641" s="9"/>
      <c r="D641" s="9"/>
      <c r="E641" s="9"/>
      <c r="F641" s="9"/>
      <c r="G641" s="9"/>
      <c r="H641" s="35"/>
      <c r="I641" s="9"/>
    </row>
    <row r="642" customFormat="false" ht="15" hidden="false" customHeight="false" outlineLevel="0" collapsed="false">
      <c r="A642" s="34"/>
      <c r="B642" s="9"/>
      <c r="C642" s="9"/>
      <c r="D642" s="9"/>
      <c r="E642" s="9"/>
      <c r="F642" s="9"/>
      <c r="G642" s="9"/>
      <c r="H642" s="35"/>
      <c r="I642" s="9"/>
    </row>
    <row r="643" customFormat="false" ht="15" hidden="false" customHeight="false" outlineLevel="0" collapsed="false">
      <c r="A643" s="34"/>
      <c r="B643" s="9"/>
      <c r="C643" s="9"/>
      <c r="D643" s="9"/>
      <c r="E643" s="9"/>
      <c r="F643" s="9"/>
      <c r="G643" s="9"/>
      <c r="H643" s="35"/>
      <c r="I643" s="9"/>
    </row>
    <row r="644" customFormat="false" ht="15" hidden="false" customHeight="false" outlineLevel="0" collapsed="false">
      <c r="A644" s="34"/>
      <c r="B644" s="9"/>
      <c r="C644" s="9"/>
      <c r="D644" s="9"/>
      <c r="E644" s="9"/>
      <c r="F644" s="9"/>
      <c r="G644" s="9"/>
      <c r="H644" s="35"/>
      <c r="I644" s="9"/>
    </row>
    <row r="645" customFormat="false" ht="15" hidden="false" customHeight="false" outlineLevel="0" collapsed="false">
      <c r="A645" s="34"/>
      <c r="B645" s="9"/>
      <c r="C645" s="9"/>
      <c r="D645" s="9"/>
      <c r="E645" s="9"/>
      <c r="F645" s="9"/>
      <c r="G645" s="9"/>
      <c r="H645" s="35"/>
      <c r="I645" s="9"/>
    </row>
    <row r="646" customFormat="false" ht="15" hidden="false" customHeight="false" outlineLevel="0" collapsed="false">
      <c r="A646" s="34"/>
      <c r="B646" s="9"/>
      <c r="C646" s="9"/>
      <c r="D646" s="9"/>
      <c r="E646" s="9"/>
      <c r="F646" s="9"/>
      <c r="G646" s="9"/>
      <c r="H646" s="35"/>
      <c r="I646" s="9"/>
    </row>
    <row r="647" customFormat="false" ht="15" hidden="false" customHeight="false" outlineLevel="0" collapsed="false">
      <c r="A647" s="34"/>
      <c r="B647" s="9"/>
      <c r="C647" s="9"/>
      <c r="D647" s="9"/>
      <c r="E647" s="9"/>
      <c r="F647" s="9"/>
      <c r="G647" s="9"/>
      <c r="H647" s="35"/>
      <c r="I647" s="9"/>
    </row>
    <row r="648" customFormat="false" ht="15" hidden="false" customHeight="false" outlineLevel="0" collapsed="false">
      <c r="A648" s="34"/>
      <c r="B648" s="9"/>
      <c r="C648" s="9"/>
      <c r="D648" s="9"/>
      <c r="E648" s="9"/>
      <c r="F648" s="9"/>
      <c r="G648" s="9"/>
      <c r="H648" s="35"/>
      <c r="I648" s="9"/>
    </row>
    <row r="649" customFormat="false" ht="15" hidden="false" customHeight="false" outlineLevel="0" collapsed="false">
      <c r="A649" s="34"/>
      <c r="B649" s="9"/>
      <c r="C649" s="9"/>
      <c r="D649" s="9"/>
      <c r="E649" s="9"/>
      <c r="F649" s="9"/>
      <c r="G649" s="9"/>
      <c r="H649" s="35"/>
      <c r="I649" s="9"/>
    </row>
    <row r="650" customFormat="false" ht="15" hidden="false" customHeight="false" outlineLevel="0" collapsed="false">
      <c r="A650" s="34"/>
      <c r="B650" s="9"/>
      <c r="C650" s="9"/>
      <c r="D650" s="9"/>
      <c r="E650" s="9"/>
      <c r="F650" s="9"/>
      <c r="G650" s="9"/>
      <c r="H650" s="35"/>
      <c r="I650" s="9"/>
    </row>
    <row r="651" customFormat="false" ht="15" hidden="false" customHeight="false" outlineLevel="0" collapsed="false">
      <c r="A651" s="34"/>
      <c r="B651" s="9"/>
      <c r="C651" s="9"/>
      <c r="D651" s="9"/>
      <c r="E651" s="9"/>
      <c r="F651" s="9"/>
      <c r="G651" s="9"/>
      <c r="H651" s="35"/>
      <c r="I651" s="9"/>
    </row>
    <row r="652" customFormat="false" ht="15" hidden="false" customHeight="false" outlineLevel="0" collapsed="false">
      <c r="A652" s="34"/>
      <c r="B652" s="9"/>
      <c r="C652" s="9"/>
      <c r="D652" s="9"/>
      <c r="E652" s="9"/>
      <c r="F652" s="9"/>
      <c r="G652" s="9"/>
      <c r="H652" s="35"/>
      <c r="I652" s="9"/>
    </row>
    <row r="653" customFormat="false" ht="15" hidden="false" customHeight="false" outlineLevel="0" collapsed="false">
      <c r="A653" s="34"/>
      <c r="B653" s="9"/>
      <c r="C653" s="9"/>
      <c r="D653" s="9"/>
      <c r="E653" s="9"/>
      <c r="F653" s="9"/>
      <c r="G653" s="9"/>
      <c r="H653" s="35"/>
      <c r="I653" s="9"/>
    </row>
    <row r="654" customFormat="false" ht="15" hidden="false" customHeight="false" outlineLevel="0" collapsed="false">
      <c r="A654" s="34"/>
      <c r="B654" s="9"/>
      <c r="C654" s="9"/>
      <c r="D654" s="9"/>
      <c r="E654" s="9"/>
      <c r="F654" s="9"/>
      <c r="G654" s="9"/>
      <c r="H654" s="35"/>
      <c r="I654" s="9"/>
    </row>
    <row r="655" customFormat="false" ht="15" hidden="false" customHeight="false" outlineLevel="0" collapsed="false">
      <c r="A655" s="34"/>
      <c r="B655" s="9"/>
      <c r="C655" s="9"/>
      <c r="D655" s="9"/>
      <c r="E655" s="9"/>
      <c r="F655" s="9"/>
      <c r="G655" s="9"/>
      <c r="H655" s="35"/>
      <c r="I655" s="9"/>
    </row>
    <row r="656" customFormat="false" ht="15" hidden="false" customHeight="false" outlineLevel="0" collapsed="false">
      <c r="A656" s="34"/>
      <c r="B656" s="9"/>
      <c r="C656" s="9"/>
      <c r="D656" s="9"/>
      <c r="E656" s="9"/>
      <c r="F656" s="9"/>
      <c r="G656" s="9"/>
      <c r="H656" s="35"/>
      <c r="I656" s="9"/>
    </row>
    <row r="657" customFormat="false" ht="15" hidden="false" customHeight="false" outlineLevel="0" collapsed="false">
      <c r="A657" s="34"/>
      <c r="B657" s="9"/>
      <c r="C657" s="9"/>
      <c r="D657" s="9"/>
      <c r="E657" s="9"/>
      <c r="F657" s="9"/>
      <c r="G657" s="9"/>
      <c r="H657" s="35"/>
      <c r="I657" s="9"/>
    </row>
    <row r="658" customFormat="false" ht="15" hidden="false" customHeight="false" outlineLevel="0" collapsed="false">
      <c r="A658" s="34"/>
      <c r="B658" s="9"/>
      <c r="C658" s="9"/>
      <c r="D658" s="9"/>
      <c r="E658" s="9"/>
      <c r="F658" s="9"/>
      <c r="G658" s="9"/>
      <c r="H658" s="35"/>
      <c r="I658" s="9"/>
    </row>
    <row r="659" customFormat="false" ht="15" hidden="false" customHeight="false" outlineLevel="0" collapsed="false">
      <c r="A659" s="34"/>
      <c r="B659" s="9"/>
      <c r="C659" s="9"/>
      <c r="D659" s="9"/>
      <c r="E659" s="9"/>
      <c r="F659" s="9"/>
      <c r="G659" s="9"/>
      <c r="H659" s="35"/>
      <c r="I659" s="9"/>
    </row>
    <row r="660" customFormat="false" ht="15" hidden="false" customHeight="false" outlineLevel="0" collapsed="false">
      <c r="A660" s="34"/>
      <c r="B660" s="9"/>
      <c r="C660" s="9"/>
      <c r="D660" s="9"/>
      <c r="E660" s="9"/>
      <c r="F660" s="9"/>
      <c r="G660" s="9"/>
      <c r="H660" s="35"/>
      <c r="I660" s="9"/>
    </row>
    <row r="661" customFormat="false" ht="15" hidden="false" customHeight="false" outlineLevel="0" collapsed="false">
      <c r="A661" s="34"/>
      <c r="B661" s="9"/>
      <c r="C661" s="9"/>
      <c r="D661" s="9"/>
      <c r="E661" s="9"/>
      <c r="F661" s="9"/>
      <c r="G661" s="9"/>
      <c r="H661" s="35"/>
      <c r="I661" s="9"/>
    </row>
    <row r="662" customFormat="false" ht="15" hidden="false" customHeight="false" outlineLevel="0" collapsed="false">
      <c r="A662" s="34"/>
      <c r="B662" s="9"/>
      <c r="C662" s="9"/>
      <c r="D662" s="9"/>
      <c r="E662" s="9"/>
      <c r="F662" s="9"/>
      <c r="G662" s="9"/>
      <c r="H662" s="35"/>
      <c r="I662" s="9"/>
    </row>
    <row r="663" customFormat="false" ht="15" hidden="false" customHeight="false" outlineLevel="0" collapsed="false">
      <c r="A663" s="34"/>
      <c r="B663" s="9"/>
      <c r="C663" s="9"/>
      <c r="D663" s="9"/>
      <c r="E663" s="9"/>
      <c r="F663" s="9"/>
      <c r="G663" s="9"/>
      <c r="H663" s="35"/>
      <c r="I663" s="9"/>
    </row>
    <row r="664" customFormat="false" ht="15" hidden="false" customHeight="false" outlineLevel="0" collapsed="false">
      <c r="A664" s="34"/>
      <c r="B664" s="9"/>
      <c r="C664" s="9"/>
      <c r="D664" s="9"/>
      <c r="E664" s="9"/>
      <c r="F664" s="9"/>
      <c r="G664" s="9"/>
      <c r="H664" s="35"/>
      <c r="I664" s="9"/>
    </row>
    <row r="665" customFormat="false" ht="15" hidden="false" customHeight="false" outlineLevel="0" collapsed="false">
      <c r="A665" s="34"/>
      <c r="B665" s="9"/>
      <c r="C665" s="9"/>
      <c r="D665" s="9"/>
      <c r="E665" s="9"/>
      <c r="F665" s="9"/>
      <c r="G665" s="9"/>
      <c r="H665" s="35"/>
      <c r="I665" s="9"/>
    </row>
    <row r="666" customFormat="false" ht="15" hidden="false" customHeight="false" outlineLevel="0" collapsed="false">
      <c r="A666" s="34"/>
      <c r="B666" s="9"/>
      <c r="C666" s="9"/>
      <c r="D666" s="9"/>
      <c r="E666" s="9"/>
      <c r="F666" s="9"/>
      <c r="G666" s="9"/>
      <c r="H666" s="35"/>
      <c r="I666" s="9"/>
    </row>
    <row r="667" customFormat="false" ht="15" hidden="false" customHeight="false" outlineLevel="0" collapsed="false">
      <c r="A667" s="34"/>
      <c r="B667" s="9"/>
      <c r="C667" s="9"/>
      <c r="D667" s="9"/>
      <c r="E667" s="9"/>
      <c r="F667" s="9"/>
      <c r="G667" s="9"/>
      <c r="H667" s="35"/>
      <c r="I667" s="9"/>
    </row>
    <row r="668" customFormat="false" ht="15" hidden="false" customHeight="false" outlineLevel="0" collapsed="false">
      <c r="A668" s="34"/>
      <c r="B668" s="9"/>
      <c r="C668" s="9"/>
      <c r="D668" s="9"/>
      <c r="E668" s="9"/>
      <c r="F668" s="9"/>
      <c r="G668" s="9"/>
      <c r="H668" s="35"/>
      <c r="I668" s="9"/>
    </row>
    <row r="669" customFormat="false" ht="15" hidden="false" customHeight="false" outlineLevel="0" collapsed="false">
      <c r="A669" s="34"/>
      <c r="B669" s="9"/>
      <c r="C669" s="9"/>
      <c r="D669" s="9"/>
      <c r="E669" s="9"/>
      <c r="F669" s="9"/>
      <c r="G669" s="9"/>
      <c r="H669" s="35"/>
      <c r="I669" s="9"/>
    </row>
    <row r="670" customFormat="false" ht="15" hidden="false" customHeight="false" outlineLevel="0" collapsed="false">
      <c r="A670" s="34"/>
      <c r="B670" s="9"/>
      <c r="C670" s="9"/>
      <c r="D670" s="9"/>
      <c r="E670" s="9"/>
      <c r="F670" s="9"/>
      <c r="G670" s="9"/>
      <c r="H670" s="35"/>
      <c r="I670" s="9"/>
    </row>
    <row r="671" customFormat="false" ht="15" hidden="false" customHeight="false" outlineLevel="0" collapsed="false">
      <c r="A671" s="34"/>
      <c r="B671" s="9"/>
      <c r="C671" s="9"/>
      <c r="D671" s="9"/>
      <c r="E671" s="9"/>
      <c r="F671" s="9"/>
      <c r="G671" s="9"/>
      <c r="H671" s="35"/>
      <c r="I671" s="9"/>
    </row>
    <row r="672" customFormat="false" ht="15" hidden="false" customHeight="false" outlineLevel="0" collapsed="false">
      <c r="A672" s="34"/>
      <c r="B672" s="9"/>
      <c r="C672" s="9"/>
      <c r="D672" s="9"/>
      <c r="E672" s="9"/>
      <c r="F672" s="9"/>
      <c r="G672" s="9"/>
      <c r="H672" s="35"/>
      <c r="I672" s="9"/>
    </row>
    <row r="673" customFormat="false" ht="15" hidden="false" customHeight="false" outlineLevel="0" collapsed="false">
      <c r="A673" s="34"/>
      <c r="B673" s="9"/>
      <c r="C673" s="9"/>
      <c r="D673" s="9"/>
      <c r="E673" s="9"/>
      <c r="F673" s="9"/>
      <c r="G673" s="9"/>
      <c r="H673" s="35"/>
      <c r="I673" s="9"/>
    </row>
    <row r="674" customFormat="false" ht="15" hidden="false" customHeight="false" outlineLevel="0" collapsed="false">
      <c r="A674" s="34"/>
      <c r="B674" s="9"/>
      <c r="C674" s="9"/>
      <c r="D674" s="9"/>
      <c r="E674" s="9"/>
      <c r="F674" s="9"/>
      <c r="G674" s="9"/>
      <c r="H674" s="35"/>
      <c r="I674" s="9"/>
    </row>
    <row r="675" customFormat="false" ht="15" hidden="false" customHeight="false" outlineLevel="0" collapsed="false">
      <c r="A675" s="34"/>
      <c r="B675" s="9"/>
      <c r="C675" s="9"/>
      <c r="D675" s="9"/>
      <c r="E675" s="9"/>
      <c r="F675" s="9"/>
      <c r="G675" s="9"/>
      <c r="H675" s="35"/>
      <c r="I675" s="9"/>
    </row>
    <row r="676" customFormat="false" ht="15" hidden="false" customHeight="false" outlineLevel="0" collapsed="false">
      <c r="A676" s="34"/>
      <c r="B676" s="9"/>
      <c r="C676" s="9"/>
      <c r="D676" s="9"/>
      <c r="E676" s="9"/>
      <c r="F676" s="9"/>
      <c r="G676" s="9"/>
      <c r="H676" s="35"/>
      <c r="I676" s="9"/>
    </row>
    <row r="677" customFormat="false" ht="15" hidden="false" customHeight="false" outlineLevel="0" collapsed="false">
      <c r="A677" s="34"/>
      <c r="B677" s="9"/>
      <c r="C677" s="9"/>
      <c r="D677" s="9"/>
      <c r="E677" s="9"/>
      <c r="F677" s="9"/>
      <c r="G677" s="9"/>
      <c r="H677" s="35"/>
      <c r="I677" s="9"/>
    </row>
    <row r="678" customFormat="false" ht="15" hidden="false" customHeight="false" outlineLevel="0" collapsed="false">
      <c r="A678" s="34"/>
      <c r="B678" s="9"/>
      <c r="C678" s="9"/>
      <c r="D678" s="9"/>
      <c r="E678" s="9"/>
      <c r="F678" s="9"/>
      <c r="G678" s="9"/>
      <c r="H678" s="35"/>
      <c r="I678" s="9"/>
    </row>
    <row r="679" customFormat="false" ht="15" hidden="false" customHeight="false" outlineLevel="0" collapsed="false">
      <c r="A679" s="34"/>
      <c r="B679" s="9"/>
      <c r="C679" s="9"/>
      <c r="D679" s="9"/>
      <c r="E679" s="9"/>
      <c r="F679" s="9"/>
      <c r="G679" s="9"/>
      <c r="H679" s="35"/>
      <c r="I679" s="9"/>
    </row>
    <row r="680" customFormat="false" ht="15" hidden="false" customHeight="false" outlineLevel="0" collapsed="false">
      <c r="A680" s="34"/>
      <c r="B680" s="9"/>
      <c r="C680" s="9"/>
      <c r="D680" s="9"/>
      <c r="E680" s="9"/>
      <c r="F680" s="9"/>
      <c r="G680" s="9"/>
      <c r="H680" s="35"/>
      <c r="I680" s="9"/>
    </row>
    <row r="681" customFormat="false" ht="15" hidden="false" customHeight="false" outlineLevel="0" collapsed="false">
      <c r="A681" s="34"/>
      <c r="B681" s="9"/>
      <c r="C681" s="9"/>
      <c r="D681" s="9"/>
      <c r="E681" s="9"/>
      <c r="F681" s="9"/>
      <c r="G681" s="9"/>
      <c r="H681" s="35"/>
      <c r="I681" s="9"/>
    </row>
    <row r="682" customFormat="false" ht="15" hidden="false" customHeight="false" outlineLevel="0" collapsed="false">
      <c r="A682" s="34"/>
      <c r="B682" s="9"/>
      <c r="C682" s="9"/>
      <c r="D682" s="9"/>
      <c r="E682" s="9"/>
      <c r="F682" s="9"/>
      <c r="G682" s="9"/>
      <c r="H682" s="35"/>
      <c r="I682" s="9"/>
    </row>
    <row r="683" customFormat="false" ht="15" hidden="false" customHeight="false" outlineLevel="0" collapsed="false">
      <c r="A683" s="34"/>
      <c r="B683" s="9"/>
      <c r="C683" s="9"/>
      <c r="D683" s="9"/>
      <c r="E683" s="9"/>
      <c r="F683" s="9"/>
      <c r="G683" s="9"/>
      <c r="H683" s="35"/>
      <c r="I683" s="9"/>
    </row>
    <row r="684" customFormat="false" ht="15" hidden="false" customHeight="false" outlineLevel="0" collapsed="false">
      <c r="A684" s="34"/>
      <c r="B684" s="9"/>
      <c r="C684" s="9"/>
      <c r="D684" s="9"/>
      <c r="E684" s="9"/>
      <c r="F684" s="9"/>
      <c r="G684" s="9"/>
      <c r="H684" s="35"/>
      <c r="I684" s="9"/>
    </row>
    <row r="685" customFormat="false" ht="15" hidden="false" customHeight="false" outlineLevel="0" collapsed="false">
      <c r="A685" s="34"/>
      <c r="B685" s="9"/>
      <c r="C685" s="9"/>
      <c r="D685" s="9"/>
      <c r="E685" s="9"/>
      <c r="F685" s="9"/>
      <c r="G685" s="9"/>
      <c r="H685" s="35"/>
      <c r="I685" s="9"/>
    </row>
    <row r="686" customFormat="false" ht="15" hidden="false" customHeight="false" outlineLevel="0" collapsed="false">
      <c r="A686" s="34"/>
      <c r="B686" s="9"/>
      <c r="C686" s="9"/>
      <c r="D686" s="9"/>
      <c r="E686" s="9"/>
      <c r="F686" s="9"/>
      <c r="G686" s="9"/>
      <c r="H686" s="35"/>
      <c r="I686" s="9"/>
    </row>
    <row r="687" customFormat="false" ht="15" hidden="false" customHeight="false" outlineLevel="0" collapsed="false">
      <c r="A687" s="34"/>
      <c r="B687" s="9"/>
      <c r="C687" s="9"/>
      <c r="D687" s="9"/>
      <c r="E687" s="9"/>
      <c r="F687" s="9"/>
      <c r="G687" s="9"/>
      <c r="H687" s="35"/>
      <c r="I687" s="9"/>
    </row>
    <row r="688" customFormat="false" ht="15" hidden="false" customHeight="false" outlineLevel="0" collapsed="false">
      <c r="A688" s="34"/>
      <c r="B688" s="9"/>
      <c r="C688" s="9"/>
      <c r="D688" s="9"/>
      <c r="E688" s="9"/>
      <c r="F688" s="9"/>
      <c r="G688" s="9"/>
      <c r="H688" s="35"/>
      <c r="I688" s="9"/>
    </row>
    <row r="689" customFormat="false" ht="15" hidden="false" customHeight="false" outlineLevel="0" collapsed="false">
      <c r="A689" s="34"/>
      <c r="B689" s="9"/>
      <c r="C689" s="9"/>
      <c r="D689" s="9"/>
      <c r="E689" s="9"/>
      <c r="F689" s="9"/>
      <c r="G689" s="9"/>
      <c r="H689" s="35"/>
      <c r="I689" s="9"/>
    </row>
    <row r="690" customFormat="false" ht="15" hidden="false" customHeight="false" outlineLevel="0" collapsed="false">
      <c r="A690" s="34"/>
      <c r="B690" s="9"/>
      <c r="C690" s="9"/>
      <c r="D690" s="9"/>
      <c r="E690" s="9"/>
      <c r="F690" s="9"/>
      <c r="G690" s="9"/>
      <c r="H690" s="35"/>
      <c r="I690" s="9"/>
    </row>
    <row r="691" customFormat="false" ht="15" hidden="false" customHeight="false" outlineLevel="0" collapsed="false">
      <c r="A691" s="34"/>
      <c r="B691" s="9"/>
      <c r="C691" s="9"/>
      <c r="D691" s="9"/>
      <c r="E691" s="9"/>
      <c r="F691" s="9"/>
      <c r="G691" s="9"/>
      <c r="H691" s="35"/>
      <c r="I691" s="9"/>
    </row>
    <row r="692" customFormat="false" ht="15" hidden="false" customHeight="false" outlineLevel="0" collapsed="false">
      <c r="A692" s="34"/>
      <c r="B692" s="9"/>
      <c r="C692" s="9"/>
      <c r="D692" s="9"/>
      <c r="E692" s="9"/>
      <c r="F692" s="9"/>
      <c r="G692" s="9"/>
      <c r="H692" s="35"/>
      <c r="I692" s="9"/>
    </row>
    <row r="693" customFormat="false" ht="15" hidden="false" customHeight="false" outlineLevel="0" collapsed="false">
      <c r="A693" s="34"/>
      <c r="B693" s="9"/>
      <c r="C693" s="9"/>
      <c r="D693" s="9"/>
      <c r="E693" s="9"/>
      <c r="F693" s="9"/>
      <c r="G693" s="9"/>
      <c r="H693" s="35"/>
      <c r="I693" s="9"/>
    </row>
    <row r="694" customFormat="false" ht="15" hidden="false" customHeight="false" outlineLevel="0" collapsed="false">
      <c r="A694" s="34"/>
      <c r="B694" s="9"/>
      <c r="C694" s="9"/>
      <c r="D694" s="9"/>
      <c r="E694" s="9"/>
      <c r="F694" s="9"/>
      <c r="G694" s="9"/>
      <c r="H694" s="35"/>
      <c r="I694" s="9"/>
    </row>
    <row r="695" customFormat="false" ht="15" hidden="false" customHeight="false" outlineLevel="0" collapsed="false">
      <c r="A695" s="34"/>
      <c r="B695" s="9"/>
      <c r="C695" s="9"/>
      <c r="D695" s="9"/>
      <c r="E695" s="9"/>
      <c r="F695" s="9"/>
      <c r="G695" s="9"/>
      <c r="H695" s="35"/>
      <c r="I695" s="9"/>
    </row>
    <row r="696" customFormat="false" ht="15" hidden="false" customHeight="false" outlineLevel="0" collapsed="false">
      <c r="A696" s="34"/>
      <c r="B696" s="9"/>
      <c r="C696" s="9"/>
      <c r="D696" s="9"/>
      <c r="E696" s="9"/>
      <c r="F696" s="9"/>
      <c r="G696" s="9"/>
      <c r="H696" s="35"/>
      <c r="I696" s="9"/>
    </row>
    <row r="697" customFormat="false" ht="15" hidden="false" customHeight="false" outlineLevel="0" collapsed="false">
      <c r="A697" s="34"/>
      <c r="B697" s="9"/>
      <c r="C697" s="9"/>
      <c r="D697" s="9"/>
      <c r="E697" s="9"/>
      <c r="F697" s="9"/>
      <c r="G697" s="9"/>
      <c r="H697" s="35"/>
      <c r="I697" s="9"/>
    </row>
    <row r="698" customFormat="false" ht="15" hidden="false" customHeight="false" outlineLevel="0" collapsed="false">
      <c r="A698" s="34"/>
      <c r="B698" s="9"/>
      <c r="C698" s="9"/>
      <c r="D698" s="9"/>
      <c r="E698" s="9"/>
      <c r="F698" s="9"/>
      <c r="G698" s="9"/>
      <c r="H698" s="35"/>
      <c r="I698" s="9"/>
    </row>
    <row r="699" customFormat="false" ht="15" hidden="false" customHeight="false" outlineLevel="0" collapsed="false">
      <c r="A699" s="34"/>
      <c r="B699" s="9"/>
      <c r="C699" s="9"/>
      <c r="D699" s="9"/>
      <c r="E699" s="9"/>
      <c r="F699" s="9"/>
      <c r="G699" s="9"/>
      <c r="H699" s="35"/>
      <c r="I699" s="9"/>
    </row>
    <row r="700" customFormat="false" ht="15" hidden="false" customHeight="false" outlineLevel="0" collapsed="false">
      <c r="A700" s="34"/>
      <c r="B700" s="9"/>
      <c r="C700" s="9"/>
      <c r="D700" s="9"/>
      <c r="E700" s="9"/>
      <c r="F700" s="9"/>
      <c r="G700" s="9"/>
      <c r="H700" s="35"/>
      <c r="I700" s="9"/>
    </row>
    <row r="701" customFormat="false" ht="15" hidden="false" customHeight="false" outlineLevel="0" collapsed="false">
      <c r="A701" s="34"/>
      <c r="B701" s="9"/>
      <c r="C701" s="9"/>
      <c r="D701" s="9"/>
      <c r="E701" s="9"/>
      <c r="F701" s="9"/>
      <c r="G701" s="9"/>
      <c r="H701" s="35"/>
      <c r="I701" s="9"/>
    </row>
    <row r="702" customFormat="false" ht="15" hidden="false" customHeight="false" outlineLevel="0" collapsed="false">
      <c r="A702" s="34"/>
      <c r="B702" s="9"/>
      <c r="C702" s="9"/>
      <c r="D702" s="9"/>
      <c r="E702" s="9"/>
      <c r="F702" s="9"/>
      <c r="G702" s="9"/>
      <c r="H702" s="35"/>
      <c r="I702" s="9"/>
    </row>
    <row r="703" customFormat="false" ht="15" hidden="false" customHeight="false" outlineLevel="0" collapsed="false">
      <c r="A703" s="34"/>
      <c r="B703" s="9"/>
      <c r="C703" s="9"/>
      <c r="D703" s="9"/>
      <c r="E703" s="9"/>
      <c r="F703" s="9"/>
      <c r="G703" s="9"/>
      <c r="H703" s="35"/>
      <c r="I703" s="9"/>
    </row>
    <row r="704" customFormat="false" ht="15" hidden="false" customHeight="false" outlineLevel="0" collapsed="false">
      <c r="A704" s="34"/>
      <c r="B704" s="9"/>
      <c r="C704" s="9"/>
      <c r="D704" s="9"/>
      <c r="E704" s="9"/>
      <c r="F704" s="9"/>
      <c r="G704" s="9"/>
      <c r="H704" s="35"/>
      <c r="I704" s="9"/>
    </row>
    <row r="705" customFormat="false" ht="15" hidden="false" customHeight="false" outlineLevel="0" collapsed="false">
      <c r="A705" s="34"/>
      <c r="B705" s="9"/>
      <c r="C705" s="9"/>
      <c r="D705" s="9"/>
      <c r="E705" s="9"/>
      <c r="F705" s="9"/>
      <c r="G705" s="9"/>
      <c r="H705" s="35"/>
      <c r="I705" s="9"/>
    </row>
    <row r="706" customFormat="false" ht="15" hidden="false" customHeight="false" outlineLevel="0" collapsed="false">
      <c r="A706" s="34"/>
      <c r="B706" s="9"/>
      <c r="C706" s="9"/>
      <c r="D706" s="9"/>
      <c r="E706" s="9"/>
      <c r="F706" s="9"/>
      <c r="G706" s="9"/>
      <c r="H706" s="35"/>
      <c r="I706" s="9"/>
    </row>
    <row r="707" customFormat="false" ht="15" hidden="false" customHeight="false" outlineLevel="0" collapsed="false">
      <c r="A707" s="34"/>
      <c r="B707" s="9"/>
      <c r="C707" s="9"/>
      <c r="D707" s="9"/>
      <c r="E707" s="9"/>
      <c r="F707" s="9"/>
      <c r="G707" s="9"/>
      <c r="H707" s="35"/>
      <c r="I707" s="9"/>
    </row>
    <row r="708" customFormat="false" ht="15" hidden="false" customHeight="false" outlineLevel="0" collapsed="false">
      <c r="A708" s="34"/>
      <c r="B708" s="9"/>
      <c r="C708" s="9"/>
      <c r="D708" s="9"/>
      <c r="E708" s="9"/>
      <c r="F708" s="9"/>
      <c r="G708" s="9"/>
      <c r="H708" s="35"/>
      <c r="I708" s="9"/>
    </row>
    <row r="709" customFormat="false" ht="15" hidden="false" customHeight="false" outlineLevel="0" collapsed="false">
      <c r="A709" s="34"/>
      <c r="B709" s="9"/>
      <c r="C709" s="9"/>
      <c r="D709" s="9"/>
      <c r="E709" s="9"/>
      <c r="F709" s="9"/>
      <c r="G709" s="9"/>
      <c r="H709" s="35"/>
      <c r="I709" s="9"/>
    </row>
    <row r="710" customFormat="false" ht="15" hidden="false" customHeight="false" outlineLevel="0" collapsed="false">
      <c r="A710" s="34"/>
      <c r="B710" s="9"/>
      <c r="C710" s="9"/>
      <c r="D710" s="9"/>
      <c r="E710" s="9"/>
      <c r="F710" s="9"/>
      <c r="G710" s="9"/>
      <c r="H710" s="35"/>
      <c r="I710" s="9"/>
    </row>
    <row r="711" customFormat="false" ht="15" hidden="false" customHeight="false" outlineLevel="0" collapsed="false">
      <c r="A711" s="34"/>
      <c r="B711" s="9"/>
      <c r="C711" s="9"/>
      <c r="D711" s="9"/>
      <c r="E711" s="9"/>
      <c r="F711" s="9"/>
      <c r="G711" s="9"/>
      <c r="H711" s="35"/>
      <c r="I711" s="9"/>
    </row>
    <row r="712" customFormat="false" ht="15" hidden="false" customHeight="false" outlineLevel="0" collapsed="false">
      <c r="A712" s="34"/>
      <c r="B712" s="9"/>
      <c r="C712" s="9"/>
      <c r="D712" s="9"/>
      <c r="E712" s="9"/>
      <c r="F712" s="9"/>
      <c r="G712" s="9"/>
      <c r="H712" s="35"/>
      <c r="I712" s="9"/>
    </row>
    <row r="713" customFormat="false" ht="15" hidden="false" customHeight="false" outlineLevel="0" collapsed="false">
      <c r="A713" s="34"/>
      <c r="B713" s="9"/>
      <c r="C713" s="9"/>
      <c r="D713" s="9"/>
      <c r="E713" s="9"/>
      <c r="F713" s="9"/>
      <c r="G713" s="9"/>
      <c r="H713" s="35"/>
      <c r="I713" s="9"/>
    </row>
    <row r="714" customFormat="false" ht="15" hidden="false" customHeight="false" outlineLevel="0" collapsed="false">
      <c r="A714" s="34"/>
      <c r="B714" s="9"/>
      <c r="C714" s="9"/>
      <c r="D714" s="9"/>
      <c r="E714" s="9"/>
      <c r="F714" s="9"/>
      <c r="G714" s="9"/>
      <c r="H714" s="35"/>
      <c r="I714" s="9"/>
    </row>
    <row r="715" customFormat="false" ht="15" hidden="false" customHeight="false" outlineLevel="0" collapsed="false">
      <c r="A715" s="34"/>
      <c r="B715" s="9"/>
      <c r="C715" s="9"/>
      <c r="D715" s="9"/>
      <c r="E715" s="9"/>
      <c r="F715" s="9"/>
      <c r="G715" s="9"/>
      <c r="H715" s="35"/>
      <c r="I715" s="9"/>
    </row>
    <row r="716" customFormat="false" ht="15" hidden="false" customHeight="false" outlineLevel="0" collapsed="false">
      <c r="A716" s="34"/>
      <c r="B716" s="9"/>
      <c r="C716" s="9"/>
      <c r="D716" s="9"/>
      <c r="E716" s="9"/>
      <c r="F716" s="9"/>
      <c r="G716" s="9"/>
      <c r="H716" s="35"/>
      <c r="I716" s="9"/>
    </row>
    <row r="717" customFormat="false" ht="15" hidden="false" customHeight="false" outlineLevel="0" collapsed="false">
      <c r="A717" s="34"/>
      <c r="B717" s="9"/>
      <c r="C717" s="9"/>
      <c r="D717" s="9"/>
      <c r="E717" s="9"/>
      <c r="F717" s="9"/>
      <c r="G717" s="9"/>
      <c r="H717" s="35"/>
      <c r="I717" s="9"/>
    </row>
    <row r="718" customFormat="false" ht="15" hidden="false" customHeight="false" outlineLevel="0" collapsed="false">
      <c r="A718" s="34"/>
      <c r="B718" s="9"/>
      <c r="C718" s="9"/>
      <c r="D718" s="9"/>
      <c r="E718" s="9"/>
      <c r="F718" s="9"/>
      <c r="G718" s="9"/>
      <c r="H718" s="35"/>
      <c r="I718" s="9"/>
    </row>
    <row r="719" customFormat="false" ht="15" hidden="false" customHeight="false" outlineLevel="0" collapsed="false">
      <c r="A719" s="34"/>
      <c r="B719" s="9"/>
      <c r="C719" s="9"/>
      <c r="D719" s="9"/>
      <c r="E719" s="9"/>
      <c r="F719" s="9"/>
      <c r="G719" s="9"/>
      <c r="H719" s="35"/>
      <c r="I719" s="9"/>
    </row>
    <row r="720" customFormat="false" ht="15" hidden="false" customHeight="false" outlineLevel="0" collapsed="false">
      <c r="A720" s="34"/>
      <c r="B720" s="9"/>
      <c r="C720" s="9"/>
      <c r="D720" s="9"/>
      <c r="E720" s="9"/>
      <c r="F720" s="9"/>
      <c r="G720" s="9"/>
      <c r="H720" s="35"/>
      <c r="I720" s="9"/>
    </row>
    <row r="721" customFormat="false" ht="15" hidden="false" customHeight="false" outlineLevel="0" collapsed="false">
      <c r="A721" s="34"/>
      <c r="B721" s="9"/>
      <c r="C721" s="9"/>
      <c r="D721" s="9"/>
      <c r="E721" s="9"/>
      <c r="F721" s="9"/>
      <c r="G721" s="9"/>
      <c r="H721" s="35"/>
      <c r="I721" s="9"/>
    </row>
    <row r="722" customFormat="false" ht="15" hidden="false" customHeight="false" outlineLevel="0" collapsed="false">
      <c r="A722" s="34"/>
      <c r="B722" s="9"/>
      <c r="C722" s="9"/>
      <c r="D722" s="9"/>
      <c r="E722" s="9"/>
      <c r="F722" s="9"/>
      <c r="G722" s="9"/>
      <c r="H722" s="35"/>
      <c r="I722" s="9"/>
    </row>
    <row r="723" customFormat="false" ht="15" hidden="false" customHeight="false" outlineLevel="0" collapsed="false">
      <c r="A723" s="34"/>
      <c r="B723" s="9"/>
      <c r="C723" s="9"/>
      <c r="D723" s="9"/>
      <c r="E723" s="9"/>
      <c r="F723" s="9"/>
      <c r="G723" s="9"/>
      <c r="H723" s="35"/>
      <c r="I723" s="9"/>
    </row>
    <row r="724" customFormat="false" ht="15" hidden="false" customHeight="false" outlineLevel="0" collapsed="false">
      <c r="A724" s="34"/>
      <c r="B724" s="9"/>
      <c r="C724" s="9"/>
      <c r="D724" s="9"/>
      <c r="E724" s="9"/>
      <c r="F724" s="9"/>
      <c r="G724" s="9"/>
      <c r="H724" s="35"/>
      <c r="I724" s="9"/>
    </row>
    <row r="725" customFormat="false" ht="15" hidden="false" customHeight="false" outlineLevel="0" collapsed="false">
      <c r="A725" s="34"/>
      <c r="B725" s="9"/>
      <c r="C725" s="9"/>
      <c r="D725" s="9"/>
      <c r="E725" s="9"/>
      <c r="F725" s="9"/>
      <c r="G725" s="9"/>
      <c r="H725" s="35"/>
      <c r="I725" s="9"/>
    </row>
    <row r="726" customFormat="false" ht="15" hidden="false" customHeight="false" outlineLevel="0" collapsed="false">
      <c r="A726" s="34"/>
      <c r="B726" s="9"/>
      <c r="C726" s="9"/>
      <c r="D726" s="9"/>
      <c r="E726" s="9"/>
      <c r="F726" s="9"/>
      <c r="G726" s="9"/>
      <c r="H726" s="35"/>
      <c r="I726" s="9"/>
    </row>
    <row r="727" customFormat="false" ht="15" hidden="false" customHeight="false" outlineLevel="0" collapsed="false">
      <c r="A727" s="34"/>
      <c r="B727" s="9"/>
      <c r="C727" s="9"/>
      <c r="D727" s="9"/>
      <c r="E727" s="9"/>
      <c r="F727" s="9"/>
      <c r="G727" s="9"/>
      <c r="H727" s="35"/>
      <c r="I727" s="9"/>
    </row>
    <row r="728" customFormat="false" ht="15" hidden="false" customHeight="false" outlineLevel="0" collapsed="false">
      <c r="A728" s="34"/>
      <c r="B728" s="9"/>
      <c r="C728" s="9"/>
      <c r="D728" s="9"/>
      <c r="E728" s="9"/>
      <c r="F728" s="9"/>
      <c r="G728" s="9"/>
      <c r="H728" s="35"/>
      <c r="I728" s="9"/>
    </row>
    <row r="729" customFormat="false" ht="15" hidden="false" customHeight="false" outlineLevel="0" collapsed="false">
      <c r="A729" s="34"/>
      <c r="B729" s="9"/>
      <c r="C729" s="9"/>
      <c r="D729" s="9"/>
      <c r="E729" s="9"/>
      <c r="F729" s="9"/>
      <c r="G729" s="9"/>
      <c r="H729" s="35"/>
      <c r="I729" s="9"/>
    </row>
    <row r="730" customFormat="false" ht="15" hidden="false" customHeight="false" outlineLevel="0" collapsed="false">
      <c r="A730" s="34"/>
      <c r="B730" s="9"/>
      <c r="C730" s="9"/>
      <c r="D730" s="9"/>
      <c r="E730" s="9"/>
      <c r="F730" s="9"/>
      <c r="G730" s="9"/>
      <c r="H730" s="35"/>
      <c r="I730" s="9"/>
    </row>
    <row r="731" customFormat="false" ht="15" hidden="false" customHeight="false" outlineLevel="0" collapsed="false">
      <c r="A731" s="34"/>
      <c r="B731" s="9"/>
      <c r="C731" s="9"/>
      <c r="D731" s="9"/>
      <c r="E731" s="9"/>
      <c r="F731" s="9"/>
      <c r="G731" s="9"/>
      <c r="H731" s="35"/>
      <c r="I731" s="9"/>
    </row>
    <row r="732" customFormat="false" ht="15" hidden="false" customHeight="false" outlineLevel="0" collapsed="false">
      <c r="A732" s="34"/>
      <c r="B732" s="9"/>
      <c r="C732" s="9"/>
      <c r="D732" s="9"/>
      <c r="E732" s="9"/>
      <c r="F732" s="9"/>
      <c r="G732" s="9"/>
      <c r="H732" s="35"/>
      <c r="I732" s="9"/>
    </row>
    <row r="733" customFormat="false" ht="15" hidden="false" customHeight="false" outlineLevel="0" collapsed="false">
      <c r="A733" s="34"/>
      <c r="B733" s="9"/>
      <c r="C733" s="9"/>
      <c r="D733" s="9"/>
      <c r="E733" s="9"/>
      <c r="F733" s="9"/>
      <c r="G733" s="9"/>
      <c r="H733" s="35"/>
      <c r="I733" s="9"/>
    </row>
    <row r="734" customFormat="false" ht="15" hidden="false" customHeight="false" outlineLevel="0" collapsed="false">
      <c r="A734" s="34"/>
      <c r="B734" s="9"/>
      <c r="C734" s="9"/>
      <c r="D734" s="9"/>
      <c r="E734" s="9"/>
      <c r="F734" s="9"/>
      <c r="G734" s="9"/>
      <c r="H734" s="35"/>
      <c r="I734" s="9"/>
    </row>
    <row r="735" customFormat="false" ht="15" hidden="false" customHeight="false" outlineLevel="0" collapsed="false">
      <c r="A735" s="34"/>
      <c r="B735" s="9"/>
      <c r="C735" s="9"/>
      <c r="D735" s="9"/>
      <c r="E735" s="9"/>
      <c r="F735" s="9"/>
      <c r="G735" s="9"/>
      <c r="H735" s="35"/>
      <c r="I735" s="9"/>
    </row>
    <row r="736" customFormat="false" ht="15" hidden="false" customHeight="false" outlineLevel="0" collapsed="false">
      <c r="A736" s="34"/>
      <c r="B736" s="9"/>
      <c r="C736" s="9"/>
      <c r="D736" s="9"/>
      <c r="E736" s="9"/>
      <c r="F736" s="9"/>
      <c r="G736" s="9"/>
      <c r="H736" s="35"/>
      <c r="I736" s="9"/>
    </row>
    <row r="737" customFormat="false" ht="15" hidden="false" customHeight="false" outlineLevel="0" collapsed="false">
      <c r="A737" s="34"/>
      <c r="B737" s="9"/>
      <c r="C737" s="9"/>
      <c r="D737" s="9"/>
      <c r="E737" s="9"/>
      <c r="F737" s="9"/>
      <c r="G737" s="9"/>
      <c r="H737" s="35"/>
      <c r="I737" s="9"/>
    </row>
    <row r="738" customFormat="false" ht="15" hidden="false" customHeight="false" outlineLevel="0" collapsed="false">
      <c r="A738" s="34"/>
      <c r="B738" s="9"/>
      <c r="C738" s="9"/>
      <c r="D738" s="9"/>
      <c r="E738" s="9"/>
      <c r="F738" s="9"/>
      <c r="G738" s="9"/>
      <c r="H738" s="35"/>
      <c r="I738" s="9"/>
    </row>
    <row r="739" customFormat="false" ht="15" hidden="false" customHeight="false" outlineLevel="0" collapsed="false">
      <c r="A739" s="34"/>
      <c r="B739" s="9"/>
      <c r="C739" s="9"/>
      <c r="D739" s="9"/>
      <c r="E739" s="9"/>
      <c r="F739" s="9"/>
      <c r="G739" s="9"/>
      <c r="H739" s="35"/>
      <c r="I739" s="9"/>
    </row>
    <row r="740" customFormat="false" ht="15" hidden="false" customHeight="false" outlineLevel="0" collapsed="false">
      <c r="A740" s="34"/>
      <c r="B740" s="9"/>
      <c r="C740" s="9"/>
      <c r="D740" s="9"/>
      <c r="E740" s="9"/>
      <c r="F740" s="9"/>
      <c r="G740" s="9"/>
      <c r="H740" s="35"/>
      <c r="I740" s="9"/>
    </row>
    <row r="741" customFormat="false" ht="15" hidden="false" customHeight="false" outlineLevel="0" collapsed="false">
      <c r="A741" s="34"/>
      <c r="B741" s="9"/>
      <c r="C741" s="9"/>
      <c r="D741" s="9"/>
      <c r="E741" s="9"/>
      <c r="F741" s="9"/>
      <c r="G741" s="9"/>
      <c r="H741" s="35"/>
      <c r="I741" s="9"/>
    </row>
    <row r="742" customFormat="false" ht="15" hidden="false" customHeight="false" outlineLevel="0" collapsed="false">
      <c r="A742" s="34"/>
      <c r="B742" s="9"/>
      <c r="C742" s="9"/>
      <c r="D742" s="9"/>
      <c r="E742" s="9"/>
      <c r="F742" s="9"/>
      <c r="G742" s="9"/>
      <c r="H742" s="35"/>
      <c r="I742" s="9"/>
    </row>
    <row r="743" customFormat="false" ht="15" hidden="false" customHeight="false" outlineLevel="0" collapsed="false">
      <c r="A743" s="34"/>
      <c r="B743" s="9"/>
      <c r="C743" s="9"/>
      <c r="D743" s="9"/>
      <c r="E743" s="9"/>
      <c r="F743" s="9"/>
      <c r="G743" s="9"/>
      <c r="H743" s="35"/>
      <c r="I743" s="9"/>
    </row>
    <row r="744" customFormat="false" ht="15" hidden="false" customHeight="false" outlineLevel="0" collapsed="false">
      <c r="A744" s="34"/>
      <c r="B744" s="9"/>
      <c r="C744" s="9"/>
      <c r="D744" s="9"/>
      <c r="E744" s="9"/>
      <c r="F744" s="9"/>
      <c r="G744" s="9"/>
      <c r="H744" s="35"/>
      <c r="I744" s="9"/>
    </row>
    <row r="745" customFormat="false" ht="15" hidden="false" customHeight="false" outlineLevel="0" collapsed="false">
      <c r="A745" s="34"/>
      <c r="B745" s="9"/>
      <c r="C745" s="9"/>
      <c r="D745" s="9"/>
      <c r="E745" s="9"/>
      <c r="F745" s="9"/>
      <c r="G745" s="9"/>
      <c r="H745" s="35"/>
      <c r="I745" s="9"/>
    </row>
    <row r="746" customFormat="false" ht="15" hidden="false" customHeight="false" outlineLevel="0" collapsed="false">
      <c r="A746" s="34"/>
      <c r="B746" s="9"/>
      <c r="C746" s="9"/>
      <c r="D746" s="9"/>
      <c r="E746" s="9"/>
      <c r="F746" s="9"/>
      <c r="G746" s="9"/>
      <c r="H746" s="35"/>
      <c r="I746" s="9"/>
    </row>
    <row r="747" customFormat="false" ht="15" hidden="false" customHeight="false" outlineLevel="0" collapsed="false">
      <c r="A747" s="34"/>
      <c r="B747" s="9"/>
      <c r="C747" s="9"/>
      <c r="D747" s="9"/>
      <c r="E747" s="9"/>
      <c r="F747" s="9"/>
      <c r="G747" s="9"/>
      <c r="H747" s="35"/>
      <c r="I747" s="9"/>
    </row>
    <row r="748" customFormat="false" ht="15" hidden="false" customHeight="false" outlineLevel="0" collapsed="false">
      <c r="A748" s="34"/>
      <c r="B748" s="9"/>
      <c r="C748" s="9"/>
      <c r="D748" s="9"/>
      <c r="E748" s="9"/>
      <c r="F748" s="9"/>
      <c r="G748" s="9"/>
      <c r="H748" s="35"/>
      <c r="I748" s="9"/>
    </row>
    <row r="749" customFormat="false" ht="15" hidden="false" customHeight="false" outlineLevel="0" collapsed="false">
      <c r="A749" s="34"/>
      <c r="B749" s="9"/>
      <c r="C749" s="9"/>
      <c r="D749" s="9"/>
      <c r="E749" s="9"/>
      <c r="F749" s="9"/>
      <c r="G749" s="9"/>
      <c r="H749" s="35"/>
      <c r="I749" s="9"/>
    </row>
    <row r="750" customFormat="false" ht="15" hidden="false" customHeight="false" outlineLevel="0" collapsed="false">
      <c r="A750" s="34"/>
      <c r="B750" s="9"/>
      <c r="C750" s="9"/>
      <c r="D750" s="9"/>
      <c r="E750" s="9"/>
      <c r="F750" s="9"/>
      <c r="G750" s="9"/>
      <c r="H750" s="35"/>
      <c r="I750" s="9"/>
    </row>
    <row r="751" customFormat="false" ht="15" hidden="false" customHeight="false" outlineLevel="0" collapsed="false">
      <c r="A751" s="34"/>
      <c r="B751" s="9"/>
      <c r="C751" s="9"/>
      <c r="D751" s="9"/>
      <c r="E751" s="9"/>
      <c r="F751" s="9"/>
      <c r="G751" s="9"/>
      <c r="H751" s="35"/>
      <c r="I751" s="9"/>
    </row>
    <row r="752" customFormat="false" ht="15" hidden="false" customHeight="false" outlineLevel="0" collapsed="false">
      <c r="A752" s="34"/>
      <c r="B752" s="9"/>
      <c r="C752" s="9"/>
      <c r="D752" s="9"/>
      <c r="E752" s="9"/>
      <c r="F752" s="9"/>
      <c r="G752" s="9"/>
      <c r="H752" s="35"/>
      <c r="I752" s="9"/>
    </row>
    <row r="753" customFormat="false" ht="15" hidden="false" customHeight="false" outlineLevel="0" collapsed="false">
      <c r="A753" s="34"/>
      <c r="B753" s="9"/>
      <c r="C753" s="9"/>
      <c r="D753" s="9"/>
      <c r="E753" s="9"/>
      <c r="F753" s="9"/>
      <c r="G753" s="9"/>
      <c r="H753" s="35"/>
      <c r="I753" s="9"/>
    </row>
    <row r="754" customFormat="false" ht="15" hidden="false" customHeight="false" outlineLevel="0" collapsed="false">
      <c r="A754" s="34"/>
      <c r="B754" s="9"/>
      <c r="C754" s="9"/>
      <c r="D754" s="9"/>
      <c r="E754" s="9"/>
      <c r="F754" s="9"/>
      <c r="G754" s="9"/>
      <c r="H754" s="35"/>
      <c r="I754" s="9"/>
    </row>
    <row r="755" customFormat="false" ht="15" hidden="false" customHeight="false" outlineLevel="0" collapsed="false">
      <c r="A755" s="34"/>
      <c r="B755" s="9"/>
      <c r="C755" s="9"/>
      <c r="D755" s="9"/>
      <c r="E755" s="9"/>
      <c r="F755" s="9"/>
      <c r="G755" s="9"/>
      <c r="H755" s="35"/>
      <c r="I755" s="9"/>
    </row>
    <row r="756" customFormat="false" ht="15" hidden="false" customHeight="false" outlineLevel="0" collapsed="false">
      <c r="A756" s="34"/>
      <c r="B756" s="9"/>
      <c r="C756" s="9"/>
      <c r="D756" s="9"/>
      <c r="E756" s="9"/>
      <c r="F756" s="9"/>
      <c r="G756" s="9"/>
      <c r="H756" s="35"/>
      <c r="I756" s="9"/>
    </row>
    <row r="757" customFormat="false" ht="15" hidden="false" customHeight="false" outlineLevel="0" collapsed="false">
      <c r="A757" s="34"/>
      <c r="B757" s="9"/>
      <c r="C757" s="9"/>
      <c r="D757" s="9"/>
      <c r="E757" s="9"/>
      <c r="F757" s="9"/>
      <c r="G757" s="9"/>
      <c r="H757" s="35"/>
      <c r="I757" s="9"/>
    </row>
    <row r="758" customFormat="false" ht="15" hidden="false" customHeight="false" outlineLevel="0" collapsed="false">
      <c r="A758" s="34"/>
      <c r="B758" s="9"/>
      <c r="C758" s="9"/>
      <c r="D758" s="9"/>
      <c r="E758" s="9"/>
      <c r="F758" s="9"/>
      <c r="G758" s="9"/>
      <c r="H758" s="35"/>
      <c r="I758" s="9"/>
    </row>
    <row r="759" customFormat="false" ht="15" hidden="false" customHeight="false" outlineLevel="0" collapsed="false">
      <c r="A759" s="34"/>
      <c r="B759" s="9"/>
      <c r="C759" s="9"/>
      <c r="D759" s="9"/>
      <c r="E759" s="9"/>
      <c r="F759" s="9"/>
      <c r="G759" s="9"/>
      <c r="H759" s="35"/>
      <c r="I759" s="9"/>
    </row>
    <row r="760" customFormat="false" ht="15" hidden="false" customHeight="false" outlineLevel="0" collapsed="false">
      <c r="A760" s="34"/>
      <c r="B760" s="9"/>
      <c r="C760" s="9"/>
      <c r="D760" s="9"/>
      <c r="E760" s="9"/>
      <c r="F760" s="9"/>
      <c r="G760" s="9"/>
      <c r="H760" s="35"/>
      <c r="I760" s="9"/>
    </row>
    <row r="761" customFormat="false" ht="15" hidden="false" customHeight="false" outlineLevel="0" collapsed="false">
      <c r="A761" s="34"/>
      <c r="B761" s="9"/>
      <c r="C761" s="9"/>
      <c r="D761" s="9"/>
      <c r="E761" s="9"/>
      <c r="F761" s="9"/>
      <c r="G761" s="9"/>
      <c r="H761" s="35"/>
      <c r="I761" s="9"/>
    </row>
    <row r="762" customFormat="false" ht="15" hidden="false" customHeight="false" outlineLevel="0" collapsed="false">
      <c r="A762" s="34"/>
      <c r="B762" s="9"/>
      <c r="C762" s="9"/>
      <c r="D762" s="9"/>
      <c r="E762" s="9"/>
      <c r="F762" s="9"/>
      <c r="G762" s="9"/>
      <c r="H762" s="35"/>
      <c r="I762" s="9"/>
    </row>
    <row r="763" customFormat="false" ht="15" hidden="false" customHeight="false" outlineLevel="0" collapsed="false">
      <c r="A763" s="34"/>
      <c r="B763" s="9"/>
      <c r="C763" s="9"/>
      <c r="D763" s="9"/>
      <c r="E763" s="9"/>
      <c r="F763" s="9"/>
      <c r="G763" s="9"/>
      <c r="H763" s="35"/>
      <c r="I763" s="9"/>
    </row>
    <row r="764" customFormat="false" ht="15" hidden="false" customHeight="false" outlineLevel="0" collapsed="false">
      <c r="A764" s="34"/>
      <c r="B764" s="9"/>
      <c r="C764" s="9"/>
      <c r="D764" s="9"/>
      <c r="E764" s="9"/>
      <c r="F764" s="9"/>
      <c r="G764" s="9"/>
      <c r="H764" s="35"/>
      <c r="I764" s="9"/>
    </row>
    <row r="765" customFormat="false" ht="15" hidden="false" customHeight="false" outlineLevel="0" collapsed="false">
      <c r="A765" s="34"/>
      <c r="B765" s="9"/>
      <c r="C765" s="9"/>
      <c r="D765" s="9"/>
      <c r="E765" s="9"/>
      <c r="F765" s="9"/>
      <c r="G765" s="9"/>
      <c r="H765" s="35"/>
      <c r="I765" s="9"/>
    </row>
    <row r="766" customFormat="false" ht="15" hidden="false" customHeight="false" outlineLevel="0" collapsed="false">
      <c r="A766" s="34"/>
      <c r="B766" s="9"/>
      <c r="C766" s="9"/>
      <c r="D766" s="9"/>
      <c r="E766" s="9"/>
      <c r="F766" s="9"/>
      <c r="G766" s="9"/>
      <c r="H766" s="35"/>
      <c r="I766" s="9"/>
    </row>
    <row r="767" customFormat="false" ht="15" hidden="false" customHeight="false" outlineLevel="0" collapsed="false">
      <c r="A767" s="34"/>
      <c r="B767" s="9"/>
      <c r="C767" s="9"/>
      <c r="D767" s="9"/>
      <c r="E767" s="9"/>
      <c r="F767" s="9"/>
      <c r="G767" s="9"/>
      <c r="H767" s="35"/>
      <c r="I767" s="9"/>
    </row>
    <row r="768" customFormat="false" ht="15" hidden="false" customHeight="false" outlineLevel="0" collapsed="false">
      <c r="A768" s="34"/>
      <c r="B768" s="9"/>
      <c r="C768" s="9"/>
      <c r="D768" s="9"/>
      <c r="E768" s="9"/>
      <c r="F768" s="9"/>
      <c r="G768" s="9"/>
      <c r="H768" s="35"/>
      <c r="I768" s="9"/>
    </row>
    <row r="769" customFormat="false" ht="15" hidden="false" customHeight="false" outlineLevel="0" collapsed="false">
      <c r="A769" s="34"/>
      <c r="B769" s="9"/>
      <c r="C769" s="9"/>
      <c r="D769" s="9"/>
      <c r="E769" s="9"/>
      <c r="F769" s="9"/>
      <c r="G769" s="9"/>
      <c r="H769" s="35"/>
      <c r="I769" s="9"/>
    </row>
    <row r="770" customFormat="false" ht="15" hidden="false" customHeight="false" outlineLevel="0" collapsed="false">
      <c r="A770" s="34"/>
      <c r="B770" s="9"/>
      <c r="C770" s="9"/>
      <c r="D770" s="9"/>
      <c r="E770" s="9"/>
      <c r="F770" s="9"/>
      <c r="G770" s="9"/>
      <c r="H770" s="35"/>
      <c r="I770" s="9"/>
    </row>
    <row r="771" customFormat="false" ht="15" hidden="false" customHeight="false" outlineLevel="0" collapsed="false">
      <c r="A771" s="34"/>
      <c r="B771" s="9"/>
      <c r="C771" s="9"/>
      <c r="D771" s="9"/>
      <c r="E771" s="9"/>
      <c r="F771" s="9"/>
      <c r="G771" s="9"/>
      <c r="H771" s="35"/>
      <c r="I771" s="9"/>
    </row>
    <row r="772" customFormat="false" ht="15" hidden="false" customHeight="false" outlineLevel="0" collapsed="false">
      <c r="A772" s="34"/>
      <c r="B772" s="9"/>
      <c r="C772" s="9"/>
      <c r="D772" s="9"/>
      <c r="E772" s="9"/>
      <c r="F772" s="9"/>
      <c r="G772" s="9"/>
      <c r="H772" s="35"/>
      <c r="I772" s="9"/>
    </row>
    <row r="773" customFormat="false" ht="15" hidden="false" customHeight="false" outlineLevel="0" collapsed="false">
      <c r="A773" s="34"/>
      <c r="B773" s="9"/>
      <c r="C773" s="9"/>
      <c r="D773" s="9"/>
      <c r="E773" s="9"/>
      <c r="F773" s="9"/>
      <c r="G773" s="9"/>
      <c r="H773" s="35"/>
      <c r="I773" s="9"/>
    </row>
    <row r="774" customFormat="false" ht="15" hidden="false" customHeight="false" outlineLevel="0" collapsed="false">
      <c r="A774" s="34"/>
      <c r="B774" s="9"/>
      <c r="C774" s="9"/>
      <c r="D774" s="9"/>
      <c r="E774" s="9"/>
      <c r="F774" s="9"/>
      <c r="G774" s="9"/>
      <c r="H774" s="35"/>
      <c r="I774" s="9"/>
    </row>
    <row r="775" customFormat="false" ht="15" hidden="false" customHeight="false" outlineLevel="0" collapsed="false">
      <c r="A775" s="34"/>
      <c r="B775" s="9"/>
      <c r="C775" s="9"/>
      <c r="D775" s="9"/>
      <c r="E775" s="9"/>
      <c r="F775" s="9"/>
      <c r="G775" s="9"/>
      <c r="H775" s="35"/>
      <c r="I775" s="9"/>
    </row>
    <row r="776" customFormat="false" ht="15" hidden="false" customHeight="false" outlineLevel="0" collapsed="false">
      <c r="A776" s="34"/>
      <c r="B776" s="9"/>
      <c r="C776" s="9"/>
      <c r="D776" s="9"/>
      <c r="E776" s="9"/>
      <c r="F776" s="9"/>
      <c r="G776" s="9"/>
      <c r="H776" s="35"/>
      <c r="I776" s="9"/>
    </row>
    <row r="777" customFormat="false" ht="15" hidden="false" customHeight="false" outlineLevel="0" collapsed="false">
      <c r="A777" s="34"/>
      <c r="B777" s="9"/>
      <c r="C777" s="9"/>
      <c r="D777" s="9"/>
      <c r="E777" s="9"/>
      <c r="F777" s="9"/>
      <c r="G777" s="9"/>
      <c r="H777" s="35"/>
      <c r="I777" s="9"/>
    </row>
    <row r="778" customFormat="false" ht="15" hidden="false" customHeight="false" outlineLevel="0" collapsed="false">
      <c r="A778" s="34"/>
      <c r="B778" s="9"/>
      <c r="C778" s="9"/>
      <c r="D778" s="9"/>
      <c r="E778" s="9"/>
      <c r="F778" s="9"/>
      <c r="G778" s="9"/>
      <c r="H778" s="35"/>
      <c r="I778" s="9"/>
    </row>
    <row r="779" customFormat="false" ht="15" hidden="false" customHeight="false" outlineLevel="0" collapsed="false">
      <c r="A779" s="34"/>
      <c r="B779" s="9"/>
      <c r="C779" s="9"/>
      <c r="D779" s="9"/>
      <c r="E779" s="9"/>
      <c r="F779" s="9"/>
      <c r="G779" s="9"/>
      <c r="H779" s="35"/>
      <c r="I779" s="9"/>
    </row>
    <row r="780" customFormat="false" ht="15" hidden="false" customHeight="false" outlineLevel="0" collapsed="false">
      <c r="A780" s="34"/>
      <c r="B780" s="9"/>
      <c r="C780" s="9"/>
      <c r="D780" s="9"/>
      <c r="E780" s="9"/>
      <c r="F780" s="9"/>
      <c r="G780" s="9"/>
      <c r="H780" s="35"/>
      <c r="I780" s="9"/>
    </row>
    <row r="781" customFormat="false" ht="15" hidden="false" customHeight="false" outlineLevel="0" collapsed="false">
      <c r="A781" s="34"/>
      <c r="B781" s="9"/>
      <c r="C781" s="9"/>
      <c r="D781" s="9"/>
      <c r="E781" s="9"/>
      <c r="F781" s="9"/>
      <c r="G781" s="9"/>
      <c r="H781" s="35"/>
      <c r="I781" s="9"/>
    </row>
    <row r="782" customFormat="false" ht="15" hidden="false" customHeight="false" outlineLevel="0" collapsed="false">
      <c r="A782" s="34"/>
      <c r="B782" s="9"/>
      <c r="C782" s="9"/>
      <c r="D782" s="9"/>
      <c r="E782" s="9"/>
      <c r="F782" s="9"/>
      <c r="G782" s="9"/>
      <c r="H782" s="35"/>
      <c r="I782" s="9"/>
    </row>
    <row r="783" customFormat="false" ht="15" hidden="false" customHeight="false" outlineLevel="0" collapsed="false">
      <c r="A783" s="34"/>
      <c r="B783" s="9"/>
      <c r="C783" s="9"/>
      <c r="D783" s="9"/>
      <c r="E783" s="9"/>
      <c r="F783" s="9"/>
      <c r="G783" s="9"/>
      <c r="H783" s="35"/>
      <c r="I783" s="9"/>
    </row>
    <row r="784" customFormat="false" ht="15" hidden="false" customHeight="false" outlineLevel="0" collapsed="false">
      <c r="A784" s="34"/>
      <c r="B784" s="9"/>
      <c r="C784" s="9"/>
      <c r="D784" s="9"/>
      <c r="E784" s="9"/>
      <c r="F784" s="9"/>
      <c r="G784" s="9"/>
      <c r="H784" s="35"/>
      <c r="I784" s="9"/>
    </row>
    <row r="785" customFormat="false" ht="15" hidden="false" customHeight="false" outlineLevel="0" collapsed="false">
      <c r="A785" s="34"/>
      <c r="B785" s="9"/>
      <c r="C785" s="9"/>
      <c r="D785" s="9"/>
      <c r="E785" s="9"/>
      <c r="F785" s="9"/>
      <c r="G785" s="9"/>
      <c r="H785" s="35"/>
      <c r="I785" s="9"/>
    </row>
    <row r="786" customFormat="false" ht="15" hidden="false" customHeight="false" outlineLevel="0" collapsed="false">
      <c r="A786" s="34"/>
      <c r="B786" s="9"/>
      <c r="C786" s="9"/>
      <c r="D786" s="9"/>
      <c r="E786" s="9"/>
      <c r="F786" s="9"/>
      <c r="G786" s="9"/>
      <c r="H786" s="35"/>
      <c r="I786" s="9"/>
    </row>
    <row r="787" customFormat="false" ht="15" hidden="false" customHeight="false" outlineLevel="0" collapsed="false">
      <c r="A787" s="34"/>
      <c r="B787" s="9"/>
      <c r="C787" s="9"/>
      <c r="D787" s="9"/>
      <c r="E787" s="9"/>
      <c r="F787" s="9"/>
      <c r="G787" s="9"/>
      <c r="H787" s="35"/>
      <c r="I787" s="9"/>
    </row>
    <row r="788" customFormat="false" ht="15" hidden="false" customHeight="false" outlineLevel="0" collapsed="false">
      <c r="A788" s="34"/>
      <c r="B788" s="9"/>
      <c r="C788" s="9"/>
      <c r="D788" s="9"/>
      <c r="E788" s="9"/>
      <c r="F788" s="9"/>
      <c r="G788" s="9"/>
      <c r="H788" s="35"/>
      <c r="I788" s="9"/>
    </row>
    <row r="789" customFormat="false" ht="15" hidden="false" customHeight="false" outlineLevel="0" collapsed="false">
      <c r="A789" s="34"/>
      <c r="B789" s="9"/>
      <c r="C789" s="9"/>
      <c r="D789" s="9"/>
      <c r="E789" s="9"/>
      <c r="F789" s="9"/>
      <c r="G789" s="9"/>
      <c r="H789" s="35"/>
      <c r="I789" s="9"/>
    </row>
    <row r="790" customFormat="false" ht="15" hidden="false" customHeight="false" outlineLevel="0" collapsed="false">
      <c r="A790" s="34"/>
      <c r="B790" s="9"/>
      <c r="C790" s="9"/>
      <c r="D790" s="9"/>
      <c r="E790" s="9"/>
      <c r="F790" s="9"/>
      <c r="G790" s="9"/>
      <c r="H790" s="35"/>
      <c r="I790" s="9"/>
    </row>
    <row r="791" customFormat="false" ht="15" hidden="false" customHeight="false" outlineLevel="0" collapsed="false">
      <c r="A791" s="34"/>
      <c r="B791" s="9"/>
      <c r="C791" s="9"/>
      <c r="D791" s="9"/>
      <c r="E791" s="9"/>
      <c r="F791" s="9"/>
      <c r="G791" s="9"/>
      <c r="H791" s="35"/>
      <c r="I791" s="9"/>
    </row>
    <row r="792" customFormat="false" ht="15" hidden="false" customHeight="false" outlineLevel="0" collapsed="false">
      <c r="A792" s="34"/>
      <c r="B792" s="9"/>
      <c r="C792" s="9"/>
      <c r="D792" s="9"/>
      <c r="E792" s="9"/>
      <c r="F792" s="9"/>
      <c r="G792" s="9"/>
      <c r="H792" s="35"/>
      <c r="I792" s="9"/>
    </row>
    <row r="793" customFormat="false" ht="15" hidden="false" customHeight="false" outlineLevel="0" collapsed="false">
      <c r="A793" s="34"/>
      <c r="B793" s="9"/>
      <c r="C793" s="9"/>
      <c r="D793" s="9"/>
      <c r="E793" s="9"/>
      <c r="F793" s="9"/>
      <c r="G793" s="9"/>
      <c r="H793" s="35"/>
      <c r="I793" s="9"/>
    </row>
    <row r="794" customFormat="false" ht="15" hidden="false" customHeight="false" outlineLevel="0" collapsed="false">
      <c r="A794" s="34"/>
      <c r="B794" s="9"/>
      <c r="C794" s="9"/>
      <c r="D794" s="9"/>
      <c r="E794" s="9"/>
      <c r="F794" s="9"/>
      <c r="G794" s="9"/>
      <c r="H794" s="35"/>
      <c r="I794" s="9"/>
    </row>
    <row r="795" customFormat="false" ht="15" hidden="false" customHeight="false" outlineLevel="0" collapsed="false">
      <c r="A795" s="34"/>
      <c r="B795" s="9"/>
      <c r="C795" s="9"/>
      <c r="D795" s="9"/>
      <c r="E795" s="9"/>
      <c r="F795" s="9"/>
      <c r="G795" s="9"/>
      <c r="H795" s="35"/>
      <c r="I795" s="9"/>
    </row>
    <row r="796" customFormat="false" ht="15" hidden="false" customHeight="false" outlineLevel="0" collapsed="false">
      <c r="A796" s="34"/>
      <c r="B796" s="9"/>
      <c r="C796" s="9"/>
      <c r="D796" s="9"/>
      <c r="E796" s="9"/>
      <c r="F796" s="9"/>
      <c r="G796" s="9"/>
      <c r="H796" s="35"/>
      <c r="I796" s="9"/>
    </row>
    <row r="797" customFormat="false" ht="15" hidden="false" customHeight="false" outlineLevel="0" collapsed="false">
      <c r="A797" s="34"/>
      <c r="B797" s="9"/>
      <c r="C797" s="9"/>
      <c r="D797" s="9"/>
      <c r="E797" s="9"/>
      <c r="F797" s="9"/>
      <c r="G797" s="9"/>
      <c r="H797" s="35"/>
      <c r="I797" s="9"/>
    </row>
    <row r="798" customFormat="false" ht="15" hidden="false" customHeight="false" outlineLevel="0" collapsed="false">
      <c r="A798" s="34"/>
      <c r="B798" s="9"/>
      <c r="C798" s="9"/>
      <c r="D798" s="9"/>
      <c r="E798" s="9"/>
      <c r="F798" s="9"/>
      <c r="G798" s="9"/>
      <c r="H798" s="35"/>
      <c r="I798" s="9"/>
    </row>
    <row r="799" customFormat="false" ht="15" hidden="false" customHeight="false" outlineLevel="0" collapsed="false">
      <c r="A799" s="34"/>
      <c r="B799" s="9"/>
      <c r="C799" s="9"/>
      <c r="D799" s="9"/>
      <c r="E799" s="9"/>
      <c r="F799" s="9"/>
      <c r="G799" s="9"/>
      <c r="H799" s="35"/>
      <c r="I799" s="9"/>
    </row>
    <row r="800" customFormat="false" ht="15" hidden="false" customHeight="false" outlineLevel="0" collapsed="false">
      <c r="A800" s="34"/>
      <c r="B800" s="9"/>
      <c r="C800" s="9"/>
      <c r="D800" s="9"/>
      <c r="E800" s="9"/>
      <c r="F800" s="9"/>
      <c r="G800" s="9"/>
      <c r="H800" s="35"/>
      <c r="I800" s="9"/>
    </row>
    <row r="801" customFormat="false" ht="15" hidden="false" customHeight="false" outlineLevel="0" collapsed="false">
      <c r="A801" s="34"/>
      <c r="B801" s="9"/>
      <c r="C801" s="9"/>
      <c r="D801" s="9"/>
      <c r="E801" s="9"/>
      <c r="F801" s="9"/>
      <c r="G801" s="9"/>
      <c r="H801" s="35"/>
      <c r="I801" s="9"/>
    </row>
    <row r="802" customFormat="false" ht="15" hidden="false" customHeight="false" outlineLevel="0" collapsed="false">
      <c r="A802" s="34"/>
      <c r="B802" s="9"/>
      <c r="C802" s="9"/>
      <c r="D802" s="9"/>
      <c r="E802" s="9"/>
      <c r="F802" s="9"/>
      <c r="G802" s="9"/>
      <c r="H802" s="35"/>
      <c r="I802" s="9"/>
    </row>
    <row r="803" customFormat="false" ht="15" hidden="false" customHeight="false" outlineLevel="0" collapsed="false">
      <c r="A803" s="34"/>
      <c r="B803" s="9"/>
      <c r="C803" s="9"/>
      <c r="D803" s="9"/>
      <c r="E803" s="9"/>
      <c r="F803" s="9"/>
      <c r="G803" s="9"/>
      <c r="H803" s="35"/>
      <c r="I803" s="9"/>
    </row>
    <row r="804" customFormat="false" ht="15" hidden="false" customHeight="false" outlineLevel="0" collapsed="false">
      <c r="A804" s="34"/>
      <c r="B804" s="9"/>
      <c r="C804" s="9"/>
      <c r="D804" s="9"/>
      <c r="E804" s="9"/>
      <c r="F804" s="9"/>
      <c r="G804" s="9"/>
      <c r="H804" s="35"/>
      <c r="I804" s="9"/>
    </row>
    <row r="805" customFormat="false" ht="15" hidden="false" customHeight="false" outlineLevel="0" collapsed="false">
      <c r="A805" s="34"/>
      <c r="B805" s="9"/>
      <c r="C805" s="9"/>
      <c r="D805" s="9"/>
      <c r="E805" s="9"/>
      <c r="F805" s="9"/>
      <c r="G805" s="9"/>
      <c r="H805" s="35"/>
      <c r="I805" s="9"/>
    </row>
    <row r="806" customFormat="false" ht="15" hidden="false" customHeight="false" outlineLevel="0" collapsed="false">
      <c r="A806" s="34"/>
      <c r="B806" s="9"/>
      <c r="C806" s="9"/>
      <c r="D806" s="9"/>
      <c r="E806" s="9"/>
      <c r="F806" s="9"/>
      <c r="G806" s="9"/>
      <c r="H806" s="35"/>
      <c r="I806" s="9"/>
    </row>
    <row r="807" customFormat="false" ht="15" hidden="false" customHeight="false" outlineLevel="0" collapsed="false">
      <c r="A807" s="34"/>
      <c r="B807" s="9"/>
      <c r="C807" s="9"/>
      <c r="D807" s="9"/>
      <c r="E807" s="9"/>
      <c r="F807" s="9"/>
      <c r="G807" s="9"/>
      <c r="H807" s="35"/>
      <c r="I807" s="9"/>
    </row>
    <row r="808" customFormat="false" ht="15" hidden="false" customHeight="false" outlineLevel="0" collapsed="false">
      <c r="A808" s="34"/>
      <c r="B808" s="9"/>
      <c r="C808" s="9"/>
      <c r="D808" s="9"/>
      <c r="E808" s="9"/>
      <c r="F808" s="9"/>
      <c r="G808" s="9"/>
      <c r="H808" s="35"/>
      <c r="I808" s="9"/>
    </row>
    <row r="809" customFormat="false" ht="15" hidden="false" customHeight="false" outlineLevel="0" collapsed="false">
      <c r="A809" s="34"/>
      <c r="B809" s="9"/>
      <c r="C809" s="9"/>
      <c r="D809" s="9"/>
      <c r="E809" s="9"/>
      <c r="F809" s="9"/>
      <c r="G809" s="9"/>
      <c r="H809" s="35"/>
      <c r="I809" s="9"/>
    </row>
    <row r="810" customFormat="false" ht="15" hidden="false" customHeight="false" outlineLevel="0" collapsed="false">
      <c r="A810" s="34"/>
      <c r="B810" s="9"/>
      <c r="C810" s="9"/>
      <c r="D810" s="9"/>
      <c r="E810" s="9"/>
      <c r="F810" s="9"/>
      <c r="G810" s="9"/>
      <c r="H810" s="35"/>
      <c r="I810" s="9"/>
    </row>
    <row r="811" customFormat="false" ht="15" hidden="false" customHeight="false" outlineLevel="0" collapsed="false">
      <c r="A811" s="34"/>
      <c r="B811" s="9"/>
      <c r="C811" s="9"/>
      <c r="D811" s="9"/>
      <c r="E811" s="9"/>
      <c r="F811" s="9"/>
      <c r="G811" s="9"/>
      <c r="H811" s="35"/>
      <c r="I811" s="9"/>
    </row>
    <row r="812" customFormat="false" ht="15" hidden="false" customHeight="false" outlineLevel="0" collapsed="false">
      <c r="A812" s="34"/>
      <c r="B812" s="9"/>
      <c r="C812" s="9"/>
      <c r="D812" s="9"/>
      <c r="E812" s="9"/>
      <c r="F812" s="9"/>
      <c r="G812" s="9"/>
      <c r="H812" s="35"/>
      <c r="I812" s="9"/>
    </row>
    <row r="813" customFormat="false" ht="15" hidden="false" customHeight="false" outlineLevel="0" collapsed="false">
      <c r="A813" s="34"/>
      <c r="B813" s="9"/>
      <c r="C813" s="9"/>
      <c r="D813" s="9"/>
      <c r="E813" s="9"/>
      <c r="F813" s="9"/>
      <c r="G813" s="9"/>
      <c r="H813" s="35"/>
      <c r="I813" s="9"/>
    </row>
    <row r="814" customFormat="false" ht="15" hidden="false" customHeight="false" outlineLevel="0" collapsed="false">
      <c r="A814" s="34"/>
      <c r="B814" s="9"/>
      <c r="C814" s="9"/>
      <c r="D814" s="9"/>
      <c r="E814" s="9"/>
      <c r="F814" s="9"/>
      <c r="G814" s="9"/>
      <c r="H814" s="35"/>
      <c r="I814" s="9"/>
    </row>
    <row r="815" customFormat="false" ht="15" hidden="false" customHeight="false" outlineLevel="0" collapsed="false">
      <c r="A815" s="34"/>
      <c r="B815" s="9"/>
      <c r="C815" s="9"/>
      <c r="D815" s="9"/>
      <c r="E815" s="9"/>
      <c r="F815" s="9"/>
      <c r="G815" s="9"/>
      <c r="H815" s="35"/>
      <c r="I815" s="9"/>
    </row>
    <row r="816" customFormat="false" ht="15" hidden="false" customHeight="false" outlineLevel="0" collapsed="false">
      <c r="A816" s="34"/>
      <c r="B816" s="9"/>
      <c r="C816" s="9"/>
      <c r="D816" s="9"/>
      <c r="E816" s="9"/>
      <c r="F816" s="9"/>
      <c r="G816" s="9"/>
      <c r="H816" s="35"/>
      <c r="I816" s="9"/>
    </row>
    <row r="817" customFormat="false" ht="15" hidden="false" customHeight="false" outlineLevel="0" collapsed="false">
      <c r="A817" s="34"/>
      <c r="B817" s="9"/>
      <c r="C817" s="9"/>
      <c r="D817" s="9"/>
      <c r="E817" s="9"/>
      <c r="F817" s="9"/>
      <c r="G817" s="9"/>
      <c r="H817" s="35"/>
      <c r="I817" s="9"/>
    </row>
    <row r="818" customFormat="false" ht="15" hidden="false" customHeight="false" outlineLevel="0" collapsed="false">
      <c r="A818" s="34"/>
      <c r="B818" s="9"/>
      <c r="C818" s="9"/>
      <c r="D818" s="9"/>
      <c r="E818" s="9"/>
      <c r="F818" s="9"/>
      <c r="G818" s="9"/>
      <c r="H818" s="35"/>
      <c r="I818" s="9"/>
    </row>
    <row r="819" customFormat="false" ht="15" hidden="false" customHeight="false" outlineLevel="0" collapsed="false">
      <c r="A819" s="34"/>
      <c r="B819" s="9"/>
      <c r="C819" s="9"/>
      <c r="D819" s="9"/>
      <c r="E819" s="9"/>
      <c r="F819" s="9"/>
      <c r="G819" s="9"/>
      <c r="H819" s="35"/>
      <c r="I819" s="9"/>
    </row>
    <row r="820" customFormat="false" ht="15" hidden="false" customHeight="false" outlineLevel="0" collapsed="false">
      <c r="A820" s="34"/>
      <c r="B820" s="9"/>
      <c r="C820" s="9"/>
      <c r="D820" s="9"/>
      <c r="E820" s="9"/>
      <c r="F820" s="9"/>
      <c r="G820" s="9"/>
      <c r="H820" s="35"/>
      <c r="I820" s="9"/>
    </row>
    <row r="821" customFormat="false" ht="15" hidden="false" customHeight="false" outlineLevel="0" collapsed="false">
      <c r="A821" s="34"/>
      <c r="B821" s="9"/>
      <c r="C821" s="9"/>
      <c r="D821" s="9"/>
      <c r="E821" s="9"/>
      <c r="F821" s="9"/>
      <c r="G821" s="9"/>
      <c r="H821" s="35"/>
      <c r="I821" s="9"/>
    </row>
    <row r="822" customFormat="false" ht="15" hidden="false" customHeight="false" outlineLevel="0" collapsed="false">
      <c r="A822" s="34"/>
      <c r="B822" s="9"/>
      <c r="C822" s="9"/>
      <c r="D822" s="9"/>
      <c r="E822" s="9"/>
      <c r="F822" s="9"/>
      <c r="G822" s="9"/>
      <c r="H822" s="35"/>
      <c r="I822" s="9"/>
    </row>
    <row r="823" customFormat="false" ht="15" hidden="false" customHeight="false" outlineLevel="0" collapsed="false">
      <c r="A823" s="34"/>
      <c r="B823" s="9"/>
      <c r="C823" s="9"/>
      <c r="D823" s="9"/>
      <c r="E823" s="9"/>
      <c r="F823" s="9"/>
      <c r="G823" s="9"/>
      <c r="H823" s="35"/>
      <c r="I823" s="9"/>
    </row>
    <row r="824" customFormat="false" ht="15" hidden="false" customHeight="false" outlineLevel="0" collapsed="false">
      <c r="A824" s="34"/>
      <c r="B824" s="9"/>
      <c r="C824" s="9"/>
      <c r="D824" s="9"/>
      <c r="E824" s="9"/>
      <c r="F824" s="9"/>
      <c r="G824" s="9"/>
      <c r="H824" s="35"/>
      <c r="I824" s="9"/>
    </row>
    <row r="825" customFormat="false" ht="15" hidden="false" customHeight="false" outlineLevel="0" collapsed="false">
      <c r="A825" s="34"/>
      <c r="B825" s="9"/>
      <c r="C825" s="9"/>
      <c r="D825" s="9"/>
      <c r="E825" s="9"/>
      <c r="F825" s="9"/>
      <c r="G825" s="9"/>
      <c r="H825" s="35"/>
      <c r="I825" s="9"/>
    </row>
    <row r="826" customFormat="false" ht="15" hidden="false" customHeight="false" outlineLevel="0" collapsed="false">
      <c r="A826" s="34"/>
      <c r="B826" s="9"/>
      <c r="C826" s="9"/>
      <c r="D826" s="9"/>
      <c r="E826" s="9"/>
      <c r="F826" s="9"/>
      <c r="G826" s="9"/>
      <c r="H826" s="35"/>
      <c r="I826" s="9"/>
    </row>
    <row r="827" customFormat="false" ht="15" hidden="false" customHeight="false" outlineLevel="0" collapsed="false">
      <c r="A827" s="34"/>
      <c r="B827" s="9"/>
      <c r="C827" s="9"/>
      <c r="D827" s="9"/>
      <c r="E827" s="9"/>
      <c r="F827" s="9"/>
      <c r="G827" s="9"/>
      <c r="H827" s="35"/>
      <c r="I827" s="9"/>
    </row>
    <row r="828" customFormat="false" ht="15" hidden="false" customHeight="false" outlineLevel="0" collapsed="false">
      <c r="A828" s="34"/>
      <c r="B828" s="9"/>
      <c r="C828" s="9"/>
      <c r="D828" s="9"/>
      <c r="E828" s="9"/>
      <c r="F828" s="9"/>
      <c r="G828" s="9"/>
      <c r="H828" s="35"/>
      <c r="I828" s="9"/>
    </row>
    <row r="829" customFormat="false" ht="15" hidden="false" customHeight="false" outlineLevel="0" collapsed="false">
      <c r="A829" s="34"/>
      <c r="B829" s="9"/>
      <c r="C829" s="9"/>
      <c r="D829" s="9"/>
      <c r="E829" s="9"/>
      <c r="F829" s="9"/>
      <c r="G829" s="9"/>
      <c r="H829" s="35"/>
      <c r="I829" s="9"/>
    </row>
    <row r="830" customFormat="false" ht="15" hidden="false" customHeight="false" outlineLevel="0" collapsed="false">
      <c r="A830" s="34"/>
      <c r="B830" s="9"/>
      <c r="C830" s="9"/>
      <c r="D830" s="9"/>
      <c r="E830" s="9"/>
      <c r="F830" s="9"/>
      <c r="G830" s="9"/>
      <c r="H830" s="35"/>
      <c r="I830" s="9"/>
    </row>
    <row r="831" customFormat="false" ht="15" hidden="false" customHeight="false" outlineLevel="0" collapsed="false">
      <c r="A831" s="34"/>
      <c r="B831" s="9"/>
      <c r="C831" s="9"/>
      <c r="D831" s="9"/>
      <c r="E831" s="9"/>
      <c r="F831" s="9"/>
      <c r="G831" s="9"/>
      <c r="H831" s="35"/>
      <c r="I831" s="9"/>
    </row>
    <row r="832" customFormat="false" ht="15" hidden="false" customHeight="false" outlineLevel="0" collapsed="false">
      <c r="A832" s="34"/>
      <c r="B832" s="9"/>
      <c r="C832" s="9"/>
      <c r="D832" s="9"/>
      <c r="E832" s="9"/>
      <c r="F832" s="9"/>
      <c r="G832" s="9"/>
      <c r="H832" s="35"/>
      <c r="I832" s="9"/>
    </row>
    <row r="833" customFormat="false" ht="15" hidden="false" customHeight="false" outlineLevel="0" collapsed="false">
      <c r="A833" s="34"/>
      <c r="B833" s="9"/>
      <c r="C833" s="9"/>
      <c r="D833" s="9"/>
      <c r="E833" s="9"/>
      <c r="F833" s="9"/>
      <c r="G833" s="9"/>
      <c r="H833" s="35"/>
      <c r="I833" s="9"/>
    </row>
    <row r="834" customFormat="false" ht="15" hidden="false" customHeight="false" outlineLevel="0" collapsed="false">
      <c r="A834" s="34"/>
      <c r="B834" s="9"/>
      <c r="C834" s="9"/>
      <c r="D834" s="9"/>
      <c r="E834" s="9"/>
      <c r="F834" s="9"/>
      <c r="G834" s="9"/>
      <c r="H834" s="35"/>
      <c r="I834" s="9"/>
    </row>
    <row r="835" customFormat="false" ht="15" hidden="false" customHeight="false" outlineLevel="0" collapsed="false">
      <c r="A835" s="34"/>
      <c r="B835" s="9"/>
      <c r="C835" s="9"/>
      <c r="D835" s="9"/>
      <c r="E835" s="9"/>
      <c r="F835" s="9"/>
      <c r="G835" s="9"/>
      <c r="H835" s="35"/>
      <c r="I835" s="9"/>
    </row>
    <row r="836" customFormat="false" ht="15" hidden="false" customHeight="false" outlineLevel="0" collapsed="false">
      <c r="A836" s="34"/>
      <c r="B836" s="9"/>
      <c r="C836" s="9"/>
      <c r="D836" s="9"/>
      <c r="E836" s="9"/>
      <c r="F836" s="9"/>
      <c r="G836" s="9"/>
      <c r="H836" s="35"/>
      <c r="I836" s="9"/>
    </row>
    <row r="837" customFormat="false" ht="15" hidden="false" customHeight="false" outlineLevel="0" collapsed="false">
      <c r="A837" s="34"/>
      <c r="B837" s="9"/>
      <c r="C837" s="9"/>
      <c r="D837" s="9"/>
      <c r="E837" s="9"/>
      <c r="F837" s="9"/>
      <c r="G837" s="9"/>
      <c r="H837" s="35"/>
      <c r="I837" s="9"/>
    </row>
    <row r="838" customFormat="false" ht="15" hidden="false" customHeight="false" outlineLevel="0" collapsed="false">
      <c r="A838" s="34"/>
      <c r="B838" s="9"/>
      <c r="C838" s="9"/>
      <c r="D838" s="9"/>
      <c r="E838" s="9"/>
      <c r="F838" s="9"/>
      <c r="G838" s="9"/>
      <c r="H838" s="35"/>
      <c r="I838" s="9"/>
    </row>
    <row r="839" customFormat="false" ht="15" hidden="false" customHeight="false" outlineLevel="0" collapsed="false">
      <c r="A839" s="34"/>
      <c r="B839" s="9"/>
      <c r="C839" s="9"/>
      <c r="D839" s="9"/>
      <c r="E839" s="9"/>
      <c r="F839" s="9"/>
      <c r="G839" s="9"/>
      <c r="H839" s="35"/>
      <c r="I839" s="9"/>
    </row>
    <row r="840" customFormat="false" ht="15" hidden="false" customHeight="false" outlineLevel="0" collapsed="false">
      <c r="A840" s="34"/>
      <c r="B840" s="9"/>
      <c r="C840" s="9"/>
      <c r="D840" s="9"/>
      <c r="E840" s="9"/>
      <c r="F840" s="9"/>
      <c r="G840" s="9"/>
      <c r="H840" s="35"/>
      <c r="I840" s="9"/>
    </row>
    <row r="841" customFormat="false" ht="15" hidden="false" customHeight="false" outlineLevel="0" collapsed="false">
      <c r="A841" s="34"/>
      <c r="B841" s="9"/>
      <c r="C841" s="9"/>
      <c r="D841" s="9"/>
      <c r="E841" s="9"/>
      <c r="F841" s="9"/>
      <c r="G841" s="9"/>
      <c r="H841" s="35"/>
      <c r="I841" s="9"/>
    </row>
    <row r="842" customFormat="false" ht="15" hidden="false" customHeight="false" outlineLevel="0" collapsed="false">
      <c r="A842" s="34"/>
      <c r="B842" s="9"/>
      <c r="C842" s="9"/>
      <c r="D842" s="9"/>
      <c r="E842" s="9"/>
      <c r="F842" s="9"/>
      <c r="G842" s="9"/>
      <c r="H842" s="35"/>
      <c r="I842" s="9"/>
    </row>
    <row r="843" customFormat="false" ht="15" hidden="false" customHeight="false" outlineLevel="0" collapsed="false">
      <c r="A843" s="34"/>
      <c r="B843" s="9"/>
      <c r="C843" s="9"/>
      <c r="D843" s="9"/>
      <c r="E843" s="9"/>
      <c r="F843" s="9"/>
      <c r="G843" s="9"/>
      <c r="H843" s="35"/>
      <c r="I843" s="9"/>
    </row>
    <row r="844" customFormat="false" ht="15" hidden="false" customHeight="false" outlineLevel="0" collapsed="false">
      <c r="A844" s="34"/>
      <c r="B844" s="9"/>
      <c r="C844" s="9"/>
      <c r="D844" s="9"/>
      <c r="E844" s="9"/>
      <c r="F844" s="9"/>
      <c r="G844" s="9"/>
      <c r="H844" s="35"/>
      <c r="I844" s="9"/>
    </row>
    <row r="845" customFormat="false" ht="15" hidden="false" customHeight="false" outlineLevel="0" collapsed="false">
      <c r="A845" s="34"/>
      <c r="B845" s="9"/>
      <c r="C845" s="9"/>
      <c r="D845" s="9"/>
      <c r="E845" s="9"/>
      <c r="F845" s="9"/>
      <c r="G845" s="9"/>
      <c r="H845" s="35"/>
      <c r="I845" s="9"/>
    </row>
    <row r="846" customFormat="false" ht="15" hidden="false" customHeight="false" outlineLevel="0" collapsed="false">
      <c r="A846" s="34"/>
      <c r="B846" s="9"/>
      <c r="C846" s="9"/>
      <c r="D846" s="9"/>
      <c r="E846" s="9"/>
      <c r="F846" s="9"/>
      <c r="G846" s="9"/>
      <c r="H846" s="35"/>
      <c r="I846" s="9"/>
    </row>
    <row r="847" customFormat="false" ht="15" hidden="false" customHeight="false" outlineLevel="0" collapsed="false">
      <c r="A847" s="34"/>
      <c r="B847" s="9"/>
      <c r="C847" s="9"/>
      <c r="D847" s="9"/>
      <c r="E847" s="9"/>
      <c r="F847" s="9"/>
      <c r="G847" s="9"/>
      <c r="H847" s="35"/>
      <c r="I847" s="9"/>
    </row>
    <row r="848" customFormat="false" ht="15" hidden="false" customHeight="false" outlineLevel="0" collapsed="false">
      <c r="A848" s="34"/>
      <c r="B848" s="9"/>
      <c r="C848" s="9"/>
      <c r="D848" s="9"/>
      <c r="E848" s="9"/>
      <c r="F848" s="9"/>
      <c r="G848" s="9"/>
      <c r="H848" s="35"/>
      <c r="I848" s="9"/>
    </row>
    <row r="849" customFormat="false" ht="15" hidden="false" customHeight="false" outlineLevel="0" collapsed="false">
      <c r="A849" s="34"/>
      <c r="B849" s="9"/>
      <c r="C849" s="9"/>
      <c r="D849" s="9"/>
      <c r="E849" s="9"/>
      <c r="F849" s="9"/>
      <c r="G849" s="9"/>
      <c r="H849" s="35"/>
      <c r="I849" s="9"/>
    </row>
    <row r="850" customFormat="false" ht="15" hidden="false" customHeight="false" outlineLevel="0" collapsed="false">
      <c r="A850" s="34"/>
      <c r="B850" s="9"/>
      <c r="C850" s="9"/>
      <c r="D850" s="9"/>
      <c r="E850" s="9"/>
      <c r="F850" s="9"/>
      <c r="G850" s="9"/>
      <c r="H850" s="35"/>
      <c r="I850" s="9"/>
    </row>
    <row r="851" customFormat="false" ht="15" hidden="false" customHeight="false" outlineLevel="0" collapsed="false">
      <c r="A851" s="34"/>
      <c r="B851" s="9"/>
      <c r="C851" s="9"/>
      <c r="D851" s="9"/>
      <c r="E851" s="9"/>
      <c r="F851" s="9"/>
      <c r="G851" s="9"/>
      <c r="H851" s="35"/>
      <c r="I851" s="9"/>
    </row>
    <row r="852" customFormat="false" ht="15" hidden="false" customHeight="false" outlineLevel="0" collapsed="false">
      <c r="A852" s="34"/>
      <c r="B852" s="9"/>
      <c r="C852" s="9"/>
      <c r="D852" s="9"/>
      <c r="E852" s="9"/>
      <c r="F852" s="9"/>
      <c r="G852" s="9"/>
      <c r="H852" s="35"/>
      <c r="I852" s="9"/>
    </row>
    <row r="853" customFormat="false" ht="15" hidden="false" customHeight="false" outlineLevel="0" collapsed="false">
      <c r="A853" s="34"/>
      <c r="B853" s="9"/>
      <c r="C853" s="9"/>
      <c r="D853" s="9"/>
      <c r="E853" s="9"/>
      <c r="F853" s="9"/>
      <c r="G853" s="9"/>
      <c r="H853" s="35"/>
      <c r="I853" s="9"/>
    </row>
    <row r="854" customFormat="false" ht="15" hidden="false" customHeight="false" outlineLevel="0" collapsed="false">
      <c r="A854" s="34"/>
      <c r="B854" s="9"/>
      <c r="C854" s="9"/>
      <c r="D854" s="9"/>
      <c r="E854" s="9"/>
      <c r="F854" s="9"/>
      <c r="G854" s="9"/>
      <c r="H854" s="35"/>
      <c r="I854" s="9"/>
    </row>
    <row r="855" customFormat="false" ht="15" hidden="false" customHeight="false" outlineLevel="0" collapsed="false">
      <c r="A855" s="34"/>
      <c r="B855" s="9"/>
      <c r="C855" s="9"/>
      <c r="D855" s="9"/>
      <c r="E855" s="9"/>
      <c r="F855" s="9"/>
      <c r="G855" s="9"/>
      <c r="H855" s="35"/>
      <c r="I855" s="9"/>
    </row>
    <row r="856" customFormat="false" ht="15" hidden="false" customHeight="false" outlineLevel="0" collapsed="false">
      <c r="A856" s="34"/>
      <c r="B856" s="9"/>
      <c r="C856" s="9"/>
      <c r="D856" s="9"/>
      <c r="E856" s="9"/>
      <c r="F856" s="9"/>
      <c r="G856" s="9"/>
      <c r="H856" s="35"/>
      <c r="I856" s="9"/>
    </row>
    <row r="857" customFormat="false" ht="15" hidden="false" customHeight="false" outlineLevel="0" collapsed="false">
      <c r="A857" s="34"/>
      <c r="B857" s="9"/>
      <c r="C857" s="9"/>
      <c r="D857" s="9"/>
      <c r="E857" s="9"/>
      <c r="F857" s="9"/>
      <c r="G857" s="9"/>
      <c r="H857" s="35"/>
      <c r="I857" s="9"/>
    </row>
    <row r="858" customFormat="false" ht="15" hidden="false" customHeight="false" outlineLevel="0" collapsed="false">
      <c r="A858" s="34"/>
      <c r="B858" s="9"/>
      <c r="C858" s="9"/>
      <c r="D858" s="9"/>
      <c r="E858" s="9"/>
      <c r="F858" s="9"/>
      <c r="G858" s="9"/>
      <c r="H858" s="35"/>
      <c r="I858" s="9"/>
    </row>
    <row r="859" customFormat="false" ht="15" hidden="false" customHeight="false" outlineLevel="0" collapsed="false">
      <c r="A859" s="34"/>
      <c r="B859" s="9"/>
      <c r="C859" s="9"/>
      <c r="D859" s="9"/>
      <c r="E859" s="9"/>
      <c r="F859" s="9"/>
      <c r="G859" s="9"/>
      <c r="H859" s="35"/>
      <c r="I859" s="9"/>
    </row>
    <row r="860" customFormat="false" ht="15" hidden="false" customHeight="false" outlineLevel="0" collapsed="false">
      <c r="A860" s="34"/>
      <c r="B860" s="9"/>
      <c r="C860" s="9"/>
      <c r="D860" s="9"/>
      <c r="E860" s="9"/>
      <c r="F860" s="9"/>
      <c r="G860" s="9"/>
      <c r="H860" s="35"/>
      <c r="I860" s="9"/>
    </row>
    <row r="861" customFormat="false" ht="15" hidden="false" customHeight="false" outlineLevel="0" collapsed="false">
      <c r="A861" s="34"/>
      <c r="B861" s="9"/>
      <c r="C861" s="9"/>
      <c r="D861" s="9"/>
      <c r="E861" s="9"/>
      <c r="F861" s="9"/>
      <c r="G861" s="9"/>
      <c r="H861" s="35"/>
      <c r="I861" s="9"/>
    </row>
    <row r="862" customFormat="false" ht="15" hidden="false" customHeight="false" outlineLevel="0" collapsed="false">
      <c r="A862" s="34"/>
      <c r="B862" s="9"/>
      <c r="C862" s="9"/>
      <c r="D862" s="9"/>
      <c r="E862" s="9"/>
      <c r="F862" s="9"/>
      <c r="G862" s="9"/>
      <c r="H862" s="35"/>
      <c r="I862" s="9"/>
    </row>
    <row r="863" customFormat="false" ht="15" hidden="false" customHeight="false" outlineLevel="0" collapsed="false">
      <c r="A863" s="34"/>
      <c r="B863" s="9"/>
      <c r="C863" s="9"/>
      <c r="D863" s="9"/>
      <c r="E863" s="9"/>
      <c r="F863" s="9"/>
      <c r="G863" s="9"/>
      <c r="H863" s="35"/>
      <c r="I863" s="9"/>
    </row>
    <row r="864" customFormat="false" ht="15" hidden="false" customHeight="false" outlineLevel="0" collapsed="false">
      <c r="A864" s="34"/>
      <c r="B864" s="9"/>
      <c r="C864" s="9"/>
      <c r="D864" s="9"/>
      <c r="E864" s="9"/>
      <c r="F864" s="9"/>
      <c r="G864" s="9"/>
      <c r="H864" s="35"/>
      <c r="I864" s="9"/>
    </row>
    <row r="865" customFormat="false" ht="15" hidden="false" customHeight="false" outlineLevel="0" collapsed="false">
      <c r="A865" s="34"/>
      <c r="B865" s="9"/>
      <c r="C865" s="9"/>
      <c r="D865" s="9"/>
      <c r="E865" s="9"/>
      <c r="F865" s="9"/>
      <c r="G865" s="9"/>
      <c r="H865" s="35"/>
      <c r="I865" s="9"/>
    </row>
    <row r="866" customFormat="false" ht="15" hidden="false" customHeight="false" outlineLevel="0" collapsed="false">
      <c r="A866" s="34"/>
      <c r="B866" s="9"/>
      <c r="C866" s="9"/>
      <c r="D866" s="9"/>
      <c r="E866" s="9"/>
      <c r="F866" s="9"/>
      <c r="G866" s="9"/>
      <c r="H866" s="35"/>
      <c r="I866" s="9"/>
    </row>
    <row r="867" customFormat="false" ht="15" hidden="false" customHeight="false" outlineLevel="0" collapsed="false">
      <c r="A867" s="34"/>
      <c r="B867" s="9"/>
      <c r="C867" s="9"/>
      <c r="D867" s="9"/>
      <c r="E867" s="9"/>
      <c r="F867" s="9"/>
      <c r="G867" s="9"/>
      <c r="H867" s="35"/>
      <c r="I867" s="9"/>
    </row>
    <row r="868" customFormat="false" ht="15" hidden="false" customHeight="false" outlineLevel="0" collapsed="false">
      <c r="A868" s="34"/>
      <c r="B868" s="9"/>
      <c r="C868" s="9"/>
      <c r="D868" s="9"/>
      <c r="E868" s="9"/>
      <c r="F868" s="9"/>
      <c r="G868" s="9"/>
      <c r="H868" s="35"/>
      <c r="I868" s="9"/>
    </row>
    <row r="869" customFormat="false" ht="15" hidden="false" customHeight="false" outlineLevel="0" collapsed="false">
      <c r="A869" s="34"/>
      <c r="B869" s="9"/>
      <c r="C869" s="9"/>
      <c r="D869" s="9"/>
      <c r="E869" s="9"/>
      <c r="F869" s="9"/>
      <c r="G869" s="9"/>
      <c r="H869" s="35"/>
      <c r="I869" s="9"/>
    </row>
    <row r="870" customFormat="false" ht="15" hidden="false" customHeight="false" outlineLevel="0" collapsed="false">
      <c r="A870" s="34"/>
      <c r="B870" s="9"/>
      <c r="C870" s="9"/>
      <c r="D870" s="9"/>
      <c r="E870" s="9"/>
      <c r="F870" s="9"/>
      <c r="G870" s="9"/>
      <c r="H870" s="35"/>
      <c r="I870" s="9"/>
    </row>
    <row r="871" customFormat="false" ht="15" hidden="false" customHeight="false" outlineLevel="0" collapsed="false">
      <c r="A871" s="34"/>
      <c r="B871" s="9"/>
      <c r="C871" s="9"/>
      <c r="D871" s="9"/>
      <c r="E871" s="9"/>
      <c r="F871" s="9"/>
      <c r="G871" s="9"/>
      <c r="H871" s="35"/>
      <c r="I871" s="9"/>
    </row>
    <row r="872" customFormat="false" ht="15" hidden="false" customHeight="false" outlineLevel="0" collapsed="false">
      <c r="A872" s="34"/>
      <c r="B872" s="9"/>
      <c r="C872" s="9"/>
      <c r="D872" s="9"/>
      <c r="E872" s="9"/>
      <c r="F872" s="9"/>
      <c r="G872" s="9"/>
      <c r="H872" s="35"/>
      <c r="I872" s="9"/>
    </row>
    <row r="873" customFormat="false" ht="15" hidden="false" customHeight="false" outlineLevel="0" collapsed="false">
      <c r="A873" s="34"/>
      <c r="B873" s="9"/>
      <c r="C873" s="9"/>
      <c r="D873" s="9"/>
      <c r="E873" s="9"/>
      <c r="F873" s="9"/>
      <c r="G873" s="9"/>
      <c r="H873" s="35"/>
      <c r="I873" s="9"/>
    </row>
    <row r="874" customFormat="false" ht="15" hidden="false" customHeight="false" outlineLevel="0" collapsed="false">
      <c r="A874" s="34"/>
      <c r="B874" s="9"/>
      <c r="C874" s="9"/>
      <c r="D874" s="9"/>
      <c r="E874" s="9"/>
      <c r="F874" s="9"/>
      <c r="G874" s="9"/>
      <c r="H874" s="35"/>
      <c r="I874" s="9"/>
    </row>
    <row r="875" customFormat="false" ht="15" hidden="false" customHeight="false" outlineLevel="0" collapsed="false">
      <c r="A875" s="34"/>
      <c r="B875" s="9"/>
      <c r="C875" s="9"/>
      <c r="D875" s="9"/>
      <c r="E875" s="9"/>
      <c r="F875" s="9"/>
      <c r="G875" s="9"/>
      <c r="H875" s="35"/>
      <c r="I875" s="9"/>
    </row>
    <row r="876" customFormat="false" ht="15" hidden="false" customHeight="false" outlineLevel="0" collapsed="false">
      <c r="A876" s="34"/>
      <c r="B876" s="9"/>
      <c r="C876" s="9"/>
      <c r="D876" s="9"/>
      <c r="E876" s="9"/>
      <c r="F876" s="9"/>
      <c r="G876" s="9"/>
      <c r="H876" s="35"/>
      <c r="I876" s="9"/>
    </row>
    <row r="877" customFormat="false" ht="15" hidden="false" customHeight="false" outlineLevel="0" collapsed="false">
      <c r="A877" s="34"/>
      <c r="B877" s="9"/>
      <c r="C877" s="9"/>
      <c r="D877" s="9"/>
      <c r="E877" s="9"/>
      <c r="F877" s="9"/>
      <c r="G877" s="9"/>
      <c r="H877" s="35"/>
      <c r="I877" s="9"/>
    </row>
    <row r="878" customFormat="false" ht="15" hidden="false" customHeight="false" outlineLevel="0" collapsed="false">
      <c r="A878" s="34"/>
      <c r="B878" s="9"/>
      <c r="C878" s="9"/>
      <c r="D878" s="9"/>
      <c r="E878" s="9"/>
      <c r="F878" s="9"/>
      <c r="G878" s="9"/>
      <c r="H878" s="35"/>
      <c r="I878" s="9"/>
    </row>
    <row r="879" customFormat="false" ht="15" hidden="false" customHeight="false" outlineLevel="0" collapsed="false">
      <c r="A879" s="34"/>
      <c r="B879" s="9"/>
      <c r="C879" s="9"/>
      <c r="D879" s="9"/>
      <c r="E879" s="9"/>
      <c r="F879" s="9"/>
      <c r="G879" s="9"/>
      <c r="H879" s="35"/>
      <c r="I879" s="9"/>
    </row>
    <row r="880" customFormat="false" ht="15" hidden="false" customHeight="false" outlineLevel="0" collapsed="false">
      <c r="A880" s="34"/>
      <c r="B880" s="9"/>
      <c r="C880" s="9"/>
      <c r="D880" s="9"/>
      <c r="E880" s="9"/>
      <c r="F880" s="9"/>
      <c r="G880" s="9"/>
      <c r="H880" s="35"/>
      <c r="I880" s="9"/>
    </row>
    <row r="881" customFormat="false" ht="15" hidden="false" customHeight="false" outlineLevel="0" collapsed="false">
      <c r="A881" s="34"/>
      <c r="B881" s="9"/>
      <c r="C881" s="9"/>
      <c r="D881" s="9"/>
      <c r="E881" s="9"/>
      <c r="F881" s="9"/>
      <c r="G881" s="9"/>
      <c r="H881" s="35"/>
      <c r="I881" s="9"/>
    </row>
    <row r="882" customFormat="false" ht="15" hidden="false" customHeight="false" outlineLevel="0" collapsed="false">
      <c r="A882" s="34"/>
      <c r="B882" s="9"/>
      <c r="C882" s="9"/>
      <c r="D882" s="9"/>
      <c r="E882" s="9"/>
      <c r="F882" s="9"/>
      <c r="G882" s="9"/>
      <c r="H882" s="35"/>
      <c r="I882" s="9"/>
    </row>
    <row r="883" customFormat="false" ht="15" hidden="false" customHeight="false" outlineLevel="0" collapsed="false">
      <c r="A883" s="34"/>
      <c r="B883" s="9"/>
      <c r="C883" s="9"/>
      <c r="D883" s="9"/>
      <c r="E883" s="9"/>
      <c r="F883" s="9"/>
      <c r="G883" s="9"/>
      <c r="H883" s="35"/>
      <c r="I883" s="9"/>
    </row>
    <row r="884" customFormat="false" ht="15" hidden="false" customHeight="false" outlineLevel="0" collapsed="false">
      <c r="A884" s="34"/>
      <c r="B884" s="9"/>
      <c r="C884" s="9"/>
      <c r="D884" s="9"/>
      <c r="E884" s="9"/>
      <c r="F884" s="9"/>
      <c r="G884" s="9"/>
      <c r="H884" s="35"/>
      <c r="I884" s="9"/>
    </row>
    <row r="885" customFormat="false" ht="15" hidden="false" customHeight="false" outlineLevel="0" collapsed="false">
      <c r="A885" s="34"/>
      <c r="B885" s="9"/>
      <c r="C885" s="9"/>
      <c r="D885" s="9"/>
      <c r="E885" s="9"/>
      <c r="F885" s="9"/>
      <c r="G885" s="9"/>
      <c r="H885" s="35"/>
      <c r="I885" s="9"/>
    </row>
    <row r="886" customFormat="false" ht="15" hidden="false" customHeight="false" outlineLevel="0" collapsed="false">
      <c r="A886" s="34"/>
      <c r="B886" s="9"/>
      <c r="C886" s="9"/>
      <c r="D886" s="9"/>
      <c r="E886" s="9"/>
      <c r="F886" s="9"/>
      <c r="G886" s="9"/>
      <c r="H886" s="35"/>
      <c r="I886" s="9"/>
    </row>
    <row r="887" customFormat="false" ht="15" hidden="false" customHeight="false" outlineLevel="0" collapsed="false">
      <c r="A887" s="34"/>
      <c r="B887" s="9"/>
      <c r="C887" s="9"/>
      <c r="D887" s="9"/>
      <c r="E887" s="9"/>
      <c r="F887" s="9"/>
      <c r="G887" s="9"/>
      <c r="H887" s="35"/>
      <c r="I887" s="9"/>
    </row>
    <row r="888" customFormat="false" ht="15" hidden="false" customHeight="false" outlineLevel="0" collapsed="false">
      <c r="A888" s="34"/>
      <c r="B888" s="9"/>
      <c r="C888" s="9"/>
      <c r="D888" s="9"/>
      <c r="E888" s="9"/>
      <c r="F888" s="9"/>
      <c r="G888" s="9"/>
      <c r="H888" s="35"/>
      <c r="I888" s="9"/>
    </row>
    <row r="889" customFormat="false" ht="15" hidden="false" customHeight="false" outlineLevel="0" collapsed="false">
      <c r="A889" s="34"/>
      <c r="B889" s="9"/>
      <c r="C889" s="9"/>
      <c r="D889" s="9"/>
      <c r="E889" s="9"/>
      <c r="F889" s="9"/>
      <c r="G889" s="9"/>
      <c r="H889" s="35"/>
      <c r="I889" s="9"/>
    </row>
    <row r="890" customFormat="false" ht="15" hidden="false" customHeight="false" outlineLevel="0" collapsed="false">
      <c r="A890" s="34"/>
      <c r="B890" s="9"/>
      <c r="C890" s="9"/>
      <c r="D890" s="9"/>
      <c r="E890" s="9"/>
      <c r="F890" s="9"/>
      <c r="G890" s="9"/>
      <c r="H890" s="35"/>
      <c r="I890" s="9"/>
    </row>
    <row r="891" customFormat="false" ht="15" hidden="false" customHeight="false" outlineLevel="0" collapsed="false">
      <c r="A891" s="34"/>
      <c r="B891" s="9"/>
      <c r="C891" s="9"/>
      <c r="D891" s="9"/>
      <c r="E891" s="9"/>
      <c r="F891" s="9"/>
      <c r="G891" s="9"/>
      <c r="H891" s="35"/>
      <c r="I891" s="9"/>
    </row>
    <row r="892" customFormat="false" ht="15" hidden="false" customHeight="false" outlineLevel="0" collapsed="false">
      <c r="A892" s="34"/>
      <c r="B892" s="9"/>
      <c r="C892" s="9"/>
      <c r="D892" s="9"/>
      <c r="E892" s="9"/>
      <c r="F892" s="9"/>
      <c r="G892" s="9"/>
      <c r="H892" s="35"/>
      <c r="I892" s="9"/>
    </row>
    <row r="893" customFormat="false" ht="15" hidden="false" customHeight="false" outlineLevel="0" collapsed="false">
      <c r="A893" s="34"/>
      <c r="B893" s="9"/>
      <c r="C893" s="9"/>
      <c r="D893" s="9"/>
      <c r="E893" s="9"/>
      <c r="F893" s="9"/>
      <c r="G893" s="9"/>
      <c r="H893" s="35"/>
      <c r="I893" s="9"/>
    </row>
    <row r="894" customFormat="false" ht="15" hidden="false" customHeight="false" outlineLevel="0" collapsed="false">
      <c r="A894" s="34"/>
      <c r="B894" s="9"/>
      <c r="C894" s="9"/>
      <c r="D894" s="9"/>
      <c r="E894" s="9"/>
      <c r="F894" s="9"/>
      <c r="G894" s="9"/>
      <c r="H894" s="35"/>
      <c r="I894" s="9"/>
    </row>
    <row r="895" customFormat="false" ht="15" hidden="false" customHeight="false" outlineLevel="0" collapsed="false">
      <c r="A895" s="34"/>
      <c r="B895" s="9"/>
      <c r="C895" s="9"/>
      <c r="D895" s="9"/>
      <c r="E895" s="9"/>
      <c r="F895" s="9"/>
      <c r="G895" s="9"/>
      <c r="H895" s="35"/>
      <c r="I895" s="9"/>
    </row>
    <row r="896" customFormat="false" ht="15" hidden="false" customHeight="false" outlineLevel="0" collapsed="false">
      <c r="A896" s="34"/>
      <c r="B896" s="9"/>
      <c r="C896" s="9"/>
      <c r="D896" s="9"/>
      <c r="E896" s="9"/>
      <c r="F896" s="9"/>
      <c r="G896" s="9"/>
      <c r="H896" s="35"/>
      <c r="I896" s="9"/>
    </row>
    <row r="897" customFormat="false" ht="15" hidden="false" customHeight="false" outlineLevel="0" collapsed="false">
      <c r="A897" s="34"/>
      <c r="B897" s="9"/>
      <c r="C897" s="9"/>
      <c r="D897" s="9"/>
      <c r="E897" s="9"/>
      <c r="F897" s="9"/>
      <c r="G897" s="9"/>
      <c r="H897" s="35"/>
      <c r="I897" s="9"/>
    </row>
    <row r="898" customFormat="false" ht="15" hidden="false" customHeight="false" outlineLevel="0" collapsed="false">
      <c r="A898" s="34"/>
      <c r="B898" s="9"/>
      <c r="C898" s="9"/>
      <c r="D898" s="9"/>
      <c r="E898" s="9"/>
      <c r="F898" s="9"/>
      <c r="G898" s="9"/>
      <c r="H898" s="35"/>
      <c r="I898" s="9"/>
    </row>
    <row r="899" customFormat="false" ht="15" hidden="false" customHeight="false" outlineLevel="0" collapsed="false">
      <c r="A899" s="34"/>
      <c r="B899" s="9"/>
      <c r="C899" s="9"/>
      <c r="D899" s="9"/>
      <c r="E899" s="9"/>
      <c r="F899" s="9"/>
      <c r="G899" s="9"/>
      <c r="H899" s="35"/>
      <c r="I899" s="9"/>
    </row>
    <row r="900" customFormat="false" ht="15" hidden="false" customHeight="false" outlineLevel="0" collapsed="false">
      <c r="A900" s="34"/>
      <c r="B900" s="9"/>
      <c r="C900" s="9"/>
      <c r="D900" s="9"/>
      <c r="E900" s="9"/>
      <c r="F900" s="9"/>
      <c r="G900" s="9"/>
      <c r="H900" s="35"/>
      <c r="I900" s="9"/>
    </row>
    <row r="901" customFormat="false" ht="15" hidden="false" customHeight="false" outlineLevel="0" collapsed="false">
      <c r="A901" s="34"/>
      <c r="B901" s="9"/>
      <c r="C901" s="9"/>
      <c r="D901" s="9"/>
      <c r="E901" s="9"/>
      <c r="F901" s="9"/>
      <c r="G901" s="9"/>
      <c r="H901" s="35"/>
      <c r="I901" s="9"/>
    </row>
    <row r="902" customFormat="false" ht="15" hidden="false" customHeight="false" outlineLevel="0" collapsed="false">
      <c r="A902" s="34"/>
      <c r="B902" s="9"/>
      <c r="C902" s="9"/>
      <c r="D902" s="9"/>
      <c r="E902" s="9"/>
      <c r="F902" s="9"/>
      <c r="G902" s="9"/>
      <c r="H902" s="35"/>
      <c r="I902" s="9"/>
    </row>
    <row r="903" customFormat="false" ht="15" hidden="false" customHeight="false" outlineLevel="0" collapsed="false">
      <c r="A903" s="34"/>
      <c r="B903" s="9"/>
      <c r="C903" s="9"/>
      <c r="D903" s="9"/>
      <c r="E903" s="9"/>
      <c r="F903" s="9"/>
      <c r="G903" s="9"/>
      <c r="H903" s="35"/>
      <c r="I903" s="9"/>
    </row>
    <row r="904" customFormat="false" ht="15" hidden="false" customHeight="false" outlineLevel="0" collapsed="false">
      <c r="A904" s="34"/>
      <c r="B904" s="9"/>
      <c r="C904" s="9"/>
      <c r="D904" s="9"/>
      <c r="E904" s="9"/>
      <c r="F904" s="9"/>
      <c r="G904" s="9"/>
      <c r="H904" s="35"/>
      <c r="I904" s="9"/>
    </row>
    <row r="905" customFormat="false" ht="15" hidden="false" customHeight="false" outlineLevel="0" collapsed="false">
      <c r="A905" s="34"/>
      <c r="B905" s="9"/>
      <c r="C905" s="9"/>
      <c r="D905" s="9"/>
      <c r="E905" s="9"/>
      <c r="F905" s="9"/>
      <c r="G905" s="9"/>
      <c r="H905" s="35"/>
      <c r="I905" s="9"/>
    </row>
    <row r="906" customFormat="false" ht="15" hidden="false" customHeight="false" outlineLevel="0" collapsed="false">
      <c r="A906" s="34"/>
      <c r="B906" s="9"/>
      <c r="C906" s="9"/>
      <c r="D906" s="9"/>
      <c r="E906" s="9"/>
      <c r="F906" s="9"/>
      <c r="G906" s="9"/>
      <c r="H906" s="35"/>
      <c r="I906" s="9"/>
    </row>
    <row r="907" customFormat="false" ht="15" hidden="false" customHeight="false" outlineLevel="0" collapsed="false">
      <c r="A907" s="34"/>
      <c r="B907" s="9"/>
      <c r="C907" s="9"/>
      <c r="D907" s="9"/>
      <c r="E907" s="9"/>
      <c r="F907" s="9"/>
      <c r="G907" s="9"/>
      <c r="H907" s="35"/>
      <c r="I907" s="9"/>
    </row>
    <row r="908" customFormat="false" ht="15" hidden="false" customHeight="false" outlineLevel="0" collapsed="false">
      <c r="A908" s="34"/>
      <c r="B908" s="9"/>
      <c r="C908" s="9"/>
      <c r="D908" s="9"/>
      <c r="E908" s="9"/>
      <c r="F908" s="9"/>
      <c r="G908" s="9"/>
      <c r="H908" s="35"/>
      <c r="I908" s="9"/>
    </row>
    <row r="909" customFormat="false" ht="15" hidden="false" customHeight="false" outlineLevel="0" collapsed="false">
      <c r="A909" s="34"/>
      <c r="B909" s="9"/>
      <c r="C909" s="9"/>
      <c r="D909" s="9"/>
      <c r="E909" s="9"/>
      <c r="F909" s="9"/>
      <c r="G909" s="9"/>
      <c r="H909" s="35"/>
      <c r="I909" s="9"/>
    </row>
    <row r="910" customFormat="false" ht="15" hidden="false" customHeight="false" outlineLevel="0" collapsed="false">
      <c r="A910" s="34"/>
      <c r="B910" s="9"/>
      <c r="C910" s="9"/>
      <c r="D910" s="9"/>
      <c r="E910" s="9"/>
      <c r="F910" s="9"/>
      <c r="G910" s="9"/>
      <c r="H910" s="35"/>
      <c r="I910" s="9"/>
    </row>
    <row r="911" customFormat="false" ht="15" hidden="false" customHeight="false" outlineLevel="0" collapsed="false">
      <c r="A911" s="34"/>
      <c r="B911" s="9"/>
      <c r="C911" s="9"/>
      <c r="D911" s="9"/>
      <c r="E911" s="9"/>
      <c r="F911" s="9"/>
      <c r="G911" s="9"/>
      <c r="H911" s="35"/>
      <c r="I911" s="9"/>
    </row>
    <row r="912" customFormat="false" ht="15" hidden="false" customHeight="false" outlineLevel="0" collapsed="false">
      <c r="A912" s="34"/>
      <c r="B912" s="9"/>
      <c r="C912" s="9"/>
      <c r="D912" s="9"/>
      <c r="E912" s="9"/>
      <c r="F912" s="9"/>
      <c r="G912" s="9"/>
      <c r="H912" s="35"/>
      <c r="I912" s="9"/>
    </row>
    <row r="913" customFormat="false" ht="15" hidden="false" customHeight="false" outlineLevel="0" collapsed="false">
      <c r="A913" s="34"/>
      <c r="B913" s="9"/>
      <c r="C913" s="9"/>
      <c r="D913" s="9"/>
      <c r="E913" s="9"/>
      <c r="F913" s="9"/>
      <c r="G913" s="9"/>
      <c r="H913" s="35"/>
      <c r="I913" s="9"/>
    </row>
    <row r="914" customFormat="false" ht="15" hidden="false" customHeight="false" outlineLevel="0" collapsed="false">
      <c r="A914" s="34"/>
      <c r="B914" s="9"/>
      <c r="C914" s="9"/>
      <c r="D914" s="9"/>
      <c r="E914" s="9"/>
      <c r="F914" s="9"/>
      <c r="G914" s="9"/>
      <c r="H914" s="35"/>
      <c r="I914" s="9"/>
    </row>
    <row r="915" customFormat="false" ht="15" hidden="false" customHeight="false" outlineLevel="0" collapsed="false">
      <c r="A915" s="34"/>
      <c r="B915" s="9"/>
      <c r="C915" s="9"/>
      <c r="D915" s="9"/>
      <c r="E915" s="9"/>
      <c r="F915" s="9"/>
      <c r="G915" s="9"/>
      <c r="H915" s="35"/>
      <c r="I915" s="9"/>
    </row>
    <row r="916" customFormat="false" ht="15" hidden="false" customHeight="false" outlineLevel="0" collapsed="false">
      <c r="A916" s="34"/>
      <c r="B916" s="9"/>
      <c r="C916" s="9"/>
      <c r="D916" s="9"/>
      <c r="E916" s="9"/>
      <c r="F916" s="9"/>
      <c r="G916" s="9"/>
      <c r="H916" s="35"/>
      <c r="I916" s="9"/>
    </row>
    <row r="917" customFormat="false" ht="15" hidden="false" customHeight="false" outlineLevel="0" collapsed="false">
      <c r="A917" s="34"/>
      <c r="B917" s="9"/>
      <c r="C917" s="9"/>
      <c r="D917" s="9"/>
      <c r="E917" s="9"/>
      <c r="F917" s="9"/>
      <c r="G917" s="9"/>
      <c r="H917" s="35"/>
      <c r="I917" s="9"/>
    </row>
    <row r="918" customFormat="false" ht="15" hidden="false" customHeight="false" outlineLevel="0" collapsed="false">
      <c r="A918" s="34"/>
      <c r="B918" s="9"/>
      <c r="C918" s="9"/>
      <c r="D918" s="9"/>
      <c r="E918" s="9"/>
      <c r="F918" s="9"/>
      <c r="G918" s="9"/>
      <c r="H918" s="35"/>
      <c r="I918" s="9"/>
    </row>
    <row r="919" customFormat="false" ht="15" hidden="false" customHeight="false" outlineLevel="0" collapsed="false">
      <c r="A919" s="34"/>
      <c r="B919" s="9"/>
      <c r="C919" s="9"/>
      <c r="D919" s="9"/>
      <c r="E919" s="9"/>
      <c r="F919" s="9"/>
      <c r="G919" s="9"/>
      <c r="H919" s="35"/>
      <c r="I919" s="9"/>
    </row>
    <row r="920" customFormat="false" ht="15" hidden="false" customHeight="false" outlineLevel="0" collapsed="false">
      <c r="A920" s="34"/>
      <c r="B920" s="9"/>
      <c r="C920" s="9"/>
      <c r="D920" s="9"/>
      <c r="E920" s="9"/>
      <c r="F920" s="9"/>
      <c r="G920" s="9"/>
      <c r="H920" s="35"/>
      <c r="I920" s="9"/>
    </row>
    <row r="921" customFormat="false" ht="15" hidden="false" customHeight="false" outlineLevel="0" collapsed="false">
      <c r="A921" s="34"/>
      <c r="B921" s="9"/>
      <c r="C921" s="9"/>
      <c r="D921" s="9"/>
      <c r="E921" s="9"/>
      <c r="F921" s="9"/>
      <c r="G921" s="9"/>
      <c r="H921" s="35"/>
      <c r="I921" s="9"/>
    </row>
    <row r="922" customFormat="false" ht="15" hidden="false" customHeight="false" outlineLevel="0" collapsed="false">
      <c r="A922" s="34"/>
      <c r="B922" s="9"/>
      <c r="C922" s="9"/>
      <c r="D922" s="9"/>
      <c r="E922" s="9"/>
      <c r="F922" s="9"/>
      <c r="G922" s="9"/>
      <c r="H922" s="35"/>
      <c r="I922" s="9"/>
    </row>
    <row r="923" customFormat="false" ht="15" hidden="false" customHeight="false" outlineLevel="0" collapsed="false">
      <c r="A923" s="34"/>
      <c r="B923" s="9"/>
      <c r="C923" s="9"/>
      <c r="D923" s="9"/>
      <c r="E923" s="9"/>
      <c r="F923" s="9"/>
      <c r="G923" s="9"/>
      <c r="H923" s="35"/>
      <c r="I923" s="9"/>
    </row>
    <row r="924" customFormat="false" ht="15" hidden="false" customHeight="false" outlineLevel="0" collapsed="false">
      <c r="A924" s="34"/>
      <c r="B924" s="9"/>
      <c r="C924" s="9"/>
      <c r="D924" s="9"/>
      <c r="E924" s="9"/>
      <c r="F924" s="9"/>
      <c r="G924" s="9"/>
      <c r="H924" s="35"/>
      <c r="I924" s="9"/>
    </row>
    <row r="925" customFormat="false" ht="15" hidden="false" customHeight="false" outlineLevel="0" collapsed="false">
      <c r="A925" s="34"/>
      <c r="B925" s="9"/>
      <c r="C925" s="9"/>
      <c r="D925" s="9"/>
      <c r="E925" s="9"/>
      <c r="F925" s="9"/>
      <c r="G925" s="9"/>
      <c r="H925" s="35"/>
      <c r="I925" s="9"/>
    </row>
    <row r="926" customFormat="false" ht="15" hidden="false" customHeight="false" outlineLevel="0" collapsed="false">
      <c r="A926" s="34"/>
      <c r="B926" s="9"/>
      <c r="C926" s="9"/>
      <c r="D926" s="9"/>
      <c r="E926" s="9"/>
      <c r="F926" s="9"/>
      <c r="G926" s="9"/>
      <c r="H926" s="35"/>
      <c r="I926" s="9"/>
    </row>
    <row r="927" customFormat="false" ht="15" hidden="false" customHeight="false" outlineLevel="0" collapsed="false">
      <c r="A927" s="34"/>
      <c r="B927" s="9"/>
      <c r="C927" s="9"/>
      <c r="D927" s="9"/>
      <c r="E927" s="9"/>
      <c r="F927" s="9"/>
      <c r="G927" s="9"/>
      <c r="H927" s="35"/>
      <c r="I927" s="9"/>
    </row>
    <row r="928" customFormat="false" ht="15" hidden="false" customHeight="false" outlineLevel="0" collapsed="false">
      <c r="A928" s="34"/>
      <c r="B928" s="9"/>
      <c r="C928" s="9"/>
      <c r="D928" s="9"/>
      <c r="E928" s="9"/>
      <c r="F928" s="9"/>
      <c r="G928" s="9"/>
      <c r="H928" s="35"/>
      <c r="I928" s="9"/>
    </row>
    <row r="929" customFormat="false" ht="15" hidden="false" customHeight="false" outlineLevel="0" collapsed="false">
      <c r="A929" s="34"/>
      <c r="B929" s="9"/>
      <c r="C929" s="9"/>
      <c r="D929" s="9"/>
      <c r="E929" s="9"/>
      <c r="F929" s="9"/>
      <c r="G929" s="9"/>
      <c r="H929" s="35"/>
      <c r="I929" s="9"/>
    </row>
    <row r="930" customFormat="false" ht="15" hidden="false" customHeight="false" outlineLevel="0" collapsed="false">
      <c r="A930" s="34"/>
      <c r="B930" s="9"/>
      <c r="C930" s="9"/>
      <c r="D930" s="9"/>
      <c r="E930" s="9"/>
      <c r="F930" s="9"/>
      <c r="G930" s="9"/>
      <c r="H930" s="35"/>
      <c r="I930" s="9"/>
    </row>
    <row r="931" customFormat="false" ht="15" hidden="false" customHeight="false" outlineLevel="0" collapsed="false">
      <c r="A931" s="34"/>
      <c r="B931" s="9"/>
      <c r="C931" s="9"/>
      <c r="D931" s="9"/>
      <c r="E931" s="9"/>
      <c r="F931" s="9"/>
      <c r="G931" s="9"/>
      <c r="H931" s="35"/>
      <c r="I931" s="9"/>
    </row>
    <row r="932" customFormat="false" ht="15" hidden="false" customHeight="false" outlineLevel="0" collapsed="false">
      <c r="A932" s="34"/>
      <c r="B932" s="9"/>
      <c r="C932" s="9"/>
      <c r="D932" s="9"/>
      <c r="E932" s="9"/>
      <c r="F932" s="9"/>
      <c r="G932" s="9"/>
      <c r="H932" s="35"/>
      <c r="I932" s="9"/>
    </row>
    <row r="933" customFormat="false" ht="15" hidden="false" customHeight="false" outlineLevel="0" collapsed="false">
      <c r="A933" s="34"/>
      <c r="B933" s="9"/>
      <c r="C933" s="9"/>
      <c r="D933" s="9"/>
      <c r="E933" s="9"/>
      <c r="F933" s="9"/>
      <c r="G933" s="9"/>
      <c r="H933" s="35"/>
      <c r="I933" s="9"/>
    </row>
    <row r="934" customFormat="false" ht="15" hidden="false" customHeight="false" outlineLevel="0" collapsed="false">
      <c r="A934" s="34"/>
      <c r="B934" s="9"/>
      <c r="C934" s="9"/>
      <c r="D934" s="9"/>
      <c r="E934" s="9"/>
      <c r="F934" s="9"/>
      <c r="G934" s="9"/>
      <c r="H934" s="35"/>
      <c r="I934" s="9"/>
    </row>
    <row r="935" customFormat="false" ht="15" hidden="false" customHeight="false" outlineLevel="0" collapsed="false">
      <c r="A935" s="34"/>
      <c r="B935" s="9"/>
      <c r="C935" s="9"/>
      <c r="D935" s="9"/>
      <c r="E935" s="9"/>
      <c r="F935" s="9"/>
      <c r="G935" s="9"/>
      <c r="H935" s="35"/>
      <c r="I935" s="9"/>
    </row>
    <row r="936" customFormat="false" ht="15" hidden="false" customHeight="false" outlineLevel="0" collapsed="false">
      <c r="A936" s="34"/>
      <c r="B936" s="9"/>
      <c r="C936" s="9"/>
      <c r="D936" s="9"/>
      <c r="E936" s="9"/>
      <c r="F936" s="9"/>
      <c r="G936" s="9"/>
      <c r="H936" s="35"/>
      <c r="I936" s="9"/>
    </row>
    <row r="937" customFormat="false" ht="15" hidden="false" customHeight="false" outlineLevel="0" collapsed="false">
      <c r="A937" s="34"/>
      <c r="B937" s="9"/>
      <c r="C937" s="9"/>
      <c r="D937" s="9"/>
      <c r="E937" s="9"/>
      <c r="F937" s="9"/>
      <c r="G937" s="9"/>
      <c r="H937" s="35"/>
      <c r="I937" s="9"/>
    </row>
    <row r="938" customFormat="false" ht="15" hidden="false" customHeight="false" outlineLevel="0" collapsed="false">
      <c r="A938" s="34"/>
      <c r="B938" s="9"/>
      <c r="C938" s="9"/>
      <c r="D938" s="9"/>
      <c r="E938" s="9"/>
      <c r="F938" s="9"/>
      <c r="G938" s="9"/>
      <c r="H938" s="35"/>
      <c r="I938" s="9"/>
    </row>
    <row r="939" customFormat="false" ht="15" hidden="false" customHeight="false" outlineLevel="0" collapsed="false">
      <c r="A939" s="34"/>
      <c r="B939" s="9"/>
      <c r="C939" s="9"/>
      <c r="D939" s="9"/>
      <c r="E939" s="9"/>
      <c r="F939" s="9"/>
      <c r="G939" s="9"/>
      <c r="H939" s="35"/>
      <c r="I939" s="9"/>
    </row>
    <row r="940" customFormat="false" ht="15" hidden="false" customHeight="false" outlineLevel="0" collapsed="false">
      <c r="A940" s="34"/>
      <c r="B940" s="9"/>
      <c r="C940" s="9"/>
      <c r="D940" s="9"/>
      <c r="E940" s="9"/>
      <c r="F940" s="9"/>
      <c r="G940" s="9"/>
      <c r="H940" s="35"/>
      <c r="I940" s="9"/>
    </row>
    <row r="941" customFormat="false" ht="15" hidden="false" customHeight="false" outlineLevel="0" collapsed="false">
      <c r="A941" s="34"/>
      <c r="B941" s="9"/>
      <c r="C941" s="9"/>
      <c r="D941" s="9"/>
      <c r="E941" s="9"/>
      <c r="F941" s="9"/>
      <c r="G941" s="9"/>
      <c r="H941" s="35"/>
      <c r="I941" s="9"/>
    </row>
    <row r="942" customFormat="false" ht="15" hidden="false" customHeight="false" outlineLevel="0" collapsed="false">
      <c r="A942" s="34"/>
      <c r="B942" s="9"/>
      <c r="C942" s="9"/>
      <c r="D942" s="9"/>
      <c r="E942" s="9"/>
      <c r="F942" s="9"/>
      <c r="G942" s="9"/>
      <c r="H942" s="35"/>
      <c r="I942" s="9"/>
    </row>
    <row r="943" customFormat="false" ht="15" hidden="false" customHeight="false" outlineLevel="0" collapsed="false">
      <c r="A943" s="34"/>
      <c r="B943" s="9"/>
      <c r="C943" s="9"/>
      <c r="D943" s="9"/>
      <c r="E943" s="9"/>
      <c r="F943" s="9"/>
      <c r="G943" s="9"/>
      <c r="H943" s="35"/>
      <c r="I943" s="9"/>
    </row>
    <row r="944" customFormat="false" ht="15" hidden="false" customHeight="false" outlineLevel="0" collapsed="false">
      <c r="A944" s="34"/>
      <c r="B944" s="9"/>
      <c r="C944" s="9"/>
      <c r="D944" s="9"/>
      <c r="E944" s="9"/>
      <c r="F944" s="9"/>
      <c r="G944" s="9"/>
      <c r="H944" s="35"/>
      <c r="I944" s="9"/>
    </row>
    <row r="945" customFormat="false" ht="15" hidden="false" customHeight="false" outlineLevel="0" collapsed="false">
      <c r="A945" s="34"/>
      <c r="B945" s="9"/>
      <c r="C945" s="9"/>
      <c r="D945" s="9"/>
      <c r="E945" s="9"/>
      <c r="F945" s="9"/>
      <c r="G945" s="9"/>
      <c r="H945" s="35"/>
      <c r="I945" s="9"/>
    </row>
    <row r="946" customFormat="false" ht="15" hidden="false" customHeight="false" outlineLevel="0" collapsed="false">
      <c r="A946" s="34"/>
      <c r="B946" s="9"/>
      <c r="C946" s="9"/>
      <c r="D946" s="9"/>
      <c r="E946" s="9"/>
      <c r="F946" s="9"/>
      <c r="G946" s="9"/>
      <c r="H946" s="35"/>
      <c r="I946" s="9"/>
    </row>
    <row r="947" customFormat="false" ht="15" hidden="false" customHeight="false" outlineLevel="0" collapsed="false">
      <c r="A947" s="34"/>
      <c r="B947" s="9"/>
      <c r="C947" s="9"/>
      <c r="D947" s="9"/>
      <c r="E947" s="9"/>
      <c r="F947" s="9"/>
      <c r="G947" s="9"/>
      <c r="H947" s="35"/>
      <c r="I947" s="9"/>
    </row>
    <row r="948" customFormat="false" ht="15" hidden="false" customHeight="false" outlineLevel="0" collapsed="false">
      <c r="A948" s="34"/>
      <c r="B948" s="9"/>
      <c r="C948" s="9"/>
      <c r="D948" s="9"/>
      <c r="E948" s="9"/>
      <c r="F948" s="9"/>
      <c r="G948" s="9"/>
      <c r="H948" s="35"/>
      <c r="I948" s="9"/>
    </row>
    <row r="949" customFormat="false" ht="15" hidden="false" customHeight="false" outlineLevel="0" collapsed="false">
      <c r="A949" s="34"/>
      <c r="B949" s="9"/>
      <c r="C949" s="9"/>
      <c r="D949" s="9"/>
      <c r="E949" s="9"/>
      <c r="F949" s="9"/>
      <c r="G949" s="9"/>
      <c r="H949" s="35"/>
      <c r="I949" s="9"/>
    </row>
    <row r="950" customFormat="false" ht="15" hidden="false" customHeight="false" outlineLevel="0" collapsed="false">
      <c r="A950" s="34"/>
      <c r="B950" s="9"/>
      <c r="C950" s="9"/>
      <c r="D950" s="9"/>
      <c r="E950" s="9"/>
      <c r="F950" s="9"/>
      <c r="G950" s="9"/>
      <c r="H950" s="35"/>
      <c r="I950" s="9"/>
    </row>
    <row r="951" customFormat="false" ht="15" hidden="false" customHeight="false" outlineLevel="0" collapsed="false">
      <c r="A951" s="34"/>
      <c r="B951" s="9"/>
      <c r="C951" s="9"/>
      <c r="D951" s="9"/>
      <c r="E951" s="9"/>
      <c r="F951" s="9"/>
      <c r="G951" s="9"/>
      <c r="H951" s="35"/>
      <c r="I951" s="9"/>
    </row>
    <row r="952" customFormat="false" ht="15" hidden="false" customHeight="false" outlineLevel="0" collapsed="false">
      <c r="A952" s="34"/>
      <c r="B952" s="9"/>
      <c r="C952" s="9"/>
      <c r="D952" s="9"/>
      <c r="E952" s="9"/>
      <c r="F952" s="9"/>
      <c r="G952" s="9"/>
      <c r="H952" s="35"/>
      <c r="I952" s="9"/>
    </row>
    <row r="953" customFormat="false" ht="15" hidden="false" customHeight="false" outlineLevel="0" collapsed="false">
      <c r="A953" s="34"/>
      <c r="B953" s="9"/>
      <c r="C953" s="9"/>
      <c r="D953" s="9"/>
      <c r="E953" s="9"/>
      <c r="F953" s="9"/>
      <c r="G953" s="9"/>
      <c r="H953" s="35"/>
      <c r="I953" s="9"/>
    </row>
    <row r="954" customFormat="false" ht="15" hidden="false" customHeight="false" outlineLevel="0" collapsed="false">
      <c r="A954" s="34"/>
      <c r="B954" s="9"/>
      <c r="C954" s="9"/>
      <c r="D954" s="9"/>
      <c r="E954" s="9"/>
      <c r="F954" s="9"/>
      <c r="G954" s="9"/>
      <c r="H954" s="35"/>
      <c r="I954" s="9"/>
    </row>
    <row r="955" customFormat="false" ht="15" hidden="false" customHeight="false" outlineLevel="0" collapsed="false">
      <c r="A955" s="34"/>
      <c r="B955" s="9"/>
      <c r="C955" s="9"/>
      <c r="D955" s="9"/>
      <c r="E955" s="9"/>
      <c r="F955" s="9"/>
      <c r="G955" s="9"/>
      <c r="H955" s="35"/>
      <c r="I955" s="9"/>
    </row>
    <row r="956" customFormat="false" ht="15" hidden="false" customHeight="false" outlineLevel="0" collapsed="false">
      <c r="A956" s="34"/>
      <c r="B956" s="9"/>
      <c r="C956" s="9"/>
      <c r="D956" s="9"/>
      <c r="E956" s="9"/>
      <c r="F956" s="9"/>
      <c r="G956" s="9"/>
      <c r="H956" s="35"/>
      <c r="I956" s="9"/>
    </row>
    <row r="957" customFormat="false" ht="15" hidden="false" customHeight="false" outlineLevel="0" collapsed="false">
      <c r="A957" s="34"/>
      <c r="B957" s="9"/>
      <c r="C957" s="9"/>
      <c r="D957" s="9"/>
      <c r="E957" s="9"/>
      <c r="F957" s="9"/>
      <c r="G957" s="9"/>
      <c r="H957" s="35"/>
      <c r="I957" s="9"/>
    </row>
    <row r="958" customFormat="false" ht="15" hidden="false" customHeight="false" outlineLevel="0" collapsed="false">
      <c r="A958" s="34"/>
      <c r="B958" s="9"/>
      <c r="C958" s="9"/>
      <c r="D958" s="9"/>
      <c r="E958" s="9"/>
      <c r="F958" s="9"/>
      <c r="G958" s="9"/>
      <c r="H958" s="35"/>
      <c r="I958" s="9"/>
    </row>
    <row r="959" customFormat="false" ht="15" hidden="false" customHeight="false" outlineLevel="0" collapsed="false">
      <c r="A959" s="34"/>
      <c r="B959" s="9"/>
      <c r="C959" s="9"/>
      <c r="D959" s="9"/>
      <c r="E959" s="9"/>
      <c r="F959" s="9"/>
      <c r="G959" s="9"/>
      <c r="H959" s="35"/>
      <c r="I959" s="9"/>
    </row>
    <row r="960" customFormat="false" ht="15" hidden="false" customHeight="false" outlineLevel="0" collapsed="false">
      <c r="A960" s="34"/>
      <c r="B960" s="9"/>
      <c r="C960" s="9"/>
      <c r="D960" s="9"/>
      <c r="E960" s="9"/>
      <c r="F960" s="9"/>
      <c r="G960" s="9"/>
      <c r="H960" s="35"/>
      <c r="I960" s="9"/>
    </row>
    <row r="961" customFormat="false" ht="15" hidden="false" customHeight="false" outlineLevel="0" collapsed="false">
      <c r="A961" s="34"/>
      <c r="B961" s="9"/>
      <c r="C961" s="9"/>
      <c r="D961" s="9"/>
      <c r="E961" s="9"/>
      <c r="F961" s="9"/>
      <c r="G961" s="9"/>
      <c r="H961" s="35"/>
      <c r="I961" s="9"/>
    </row>
    <row r="962" customFormat="false" ht="15" hidden="false" customHeight="false" outlineLevel="0" collapsed="false">
      <c r="A962" s="34"/>
      <c r="B962" s="9"/>
      <c r="C962" s="9"/>
      <c r="D962" s="9"/>
      <c r="E962" s="9"/>
      <c r="F962" s="9"/>
      <c r="G962" s="9"/>
      <c r="H962" s="35"/>
      <c r="I962" s="9"/>
    </row>
    <row r="963" customFormat="false" ht="15" hidden="false" customHeight="false" outlineLevel="0" collapsed="false">
      <c r="A963" s="34"/>
      <c r="B963" s="9"/>
      <c r="C963" s="9"/>
      <c r="D963" s="9"/>
      <c r="E963" s="9"/>
      <c r="F963" s="9"/>
      <c r="G963" s="9"/>
      <c r="H963" s="35"/>
      <c r="I963" s="9"/>
    </row>
    <row r="964" customFormat="false" ht="15" hidden="false" customHeight="false" outlineLevel="0" collapsed="false">
      <c r="A964" s="34"/>
      <c r="B964" s="9"/>
      <c r="C964" s="9"/>
      <c r="D964" s="9"/>
      <c r="E964" s="9"/>
      <c r="F964" s="9"/>
      <c r="G964" s="9"/>
      <c r="H964" s="35"/>
      <c r="I964" s="9"/>
    </row>
    <row r="965" customFormat="false" ht="15" hidden="false" customHeight="false" outlineLevel="0" collapsed="false">
      <c r="A965" s="34"/>
      <c r="B965" s="9"/>
      <c r="C965" s="9"/>
      <c r="D965" s="9"/>
      <c r="E965" s="9"/>
      <c r="F965" s="9"/>
      <c r="G965" s="9"/>
      <c r="H965" s="35"/>
      <c r="I965" s="9"/>
    </row>
    <row r="966" customFormat="false" ht="15" hidden="false" customHeight="false" outlineLevel="0" collapsed="false">
      <c r="A966" s="34"/>
      <c r="B966" s="9"/>
      <c r="C966" s="9"/>
      <c r="D966" s="9"/>
      <c r="E966" s="9"/>
      <c r="F966" s="9"/>
      <c r="G966" s="9"/>
      <c r="H966" s="35"/>
      <c r="I966" s="9"/>
    </row>
    <row r="967" customFormat="false" ht="15" hidden="false" customHeight="false" outlineLevel="0" collapsed="false">
      <c r="A967" s="34"/>
      <c r="B967" s="9"/>
      <c r="C967" s="9"/>
      <c r="D967" s="9"/>
      <c r="E967" s="9"/>
      <c r="F967" s="9"/>
      <c r="G967" s="9"/>
      <c r="H967" s="35"/>
      <c r="I967" s="9"/>
    </row>
    <row r="968" customFormat="false" ht="15" hidden="false" customHeight="false" outlineLevel="0" collapsed="false">
      <c r="A968" s="34"/>
      <c r="B968" s="9"/>
      <c r="C968" s="9"/>
      <c r="D968" s="9"/>
      <c r="E968" s="9"/>
      <c r="F968" s="9"/>
      <c r="G968" s="9"/>
      <c r="H968" s="35"/>
      <c r="I968" s="9"/>
    </row>
    <row r="969" customFormat="false" ht="15" hidden="false" customHeight="false" outlineLevel="0" collapsed="false">
      <c r="A969" s="34"/>
      <c r="B969" s="9"/>
      <c r="C969" s="9"/>
      <c r="D969" s="9"/>
      <c r="E969" s="9"/>
      <c r="F969" s="9"/>
      <c r="G969" s="9"/>
      <c r="H969" s="35"/>
      <c r="I969" s="9"/>
    </row>
    <row r="970" customFormat="false" ht="15" hidden="false" customHeight="false" outlineLevel="0" collapsed="false">
      <c r="A970" s="34"/>
      <c r="B970" s="9"/>
      <c r="C970" s="9"/>
      <c r="D970" s="9"/>
      <c r="E970" s="9"/>
      <c r="F970" s="9"/>
      <c r="G970" s="9"/>
      <c r="H970" s="35"/>
      <c r="I970" s="9"/>
    </row>
    <row r="971" customFormat="false" ht="15" hidden="false" customHeight="false" outlineLevel="0" collapsed="false">
      <c r="A971" s="34"/>
      <c r="B971" s="9"/>
      <c r="C971" s="9"/>
      <c r="D971" s="9"/>
      <c r="E971" s="9"/>
      <c r="F971" s="9"/>
      <c r="G971" s="9"/>
      <c r="H971" s="35"/>
      <c r="I971" s="9"/>
    </row>
    <row r="972" customFormat="false" ht="15" hidden="false" customHeight="false" outlineLevel="0" collapsed="false">
      <c r="A972" s="34"/>
      <c r="B972" s="9"/>
      <c r="C972" s="9"/>
      <c r="D972" s="9"/>
      <c r="E972" s="9"/>
      <c r="F972" s="9"/>
      <c r="G972" s="9"/>
      <c r="H972" s="35"/>
      <c r="I972" s="9"/>
    </row>
    <row r="973" customFormat="false" ht="15" hidden="false" customHeight="false" outlineLevel="0" collapsed="false">
      <c r="A973" s="34"/>
      <c r="B973" s="9"/>
      <c r="C973" s="9"/>
      <c r="D973" s="9"/>
      <c r="E973" s="9"/>
      <c r="F973" s="9"/>
      <c r="G973" s="9"/>
      <c r="H973" s="35"/>
      <c r="I973" s="9"/>
    </row>
    <row r="974" customFormat="false" ht="15" hidden="false" customHeight="false" outlineLevel="0" collapsed="false">
      <c r="A974" s="34"/>
      <c r="B974" s="9"/>
      <c r="C974" s="9"/>
      <c r="D974" s="9"/>
      <c r="E974" s="9"/>
      <c r="F974" s="9"/>
      <c r="G974" s="9"/>
      <c r="H974" s="35"/>
      <c r="I974" s="9"/>
    </row>
    <row r="975" customFormat="false" ht="15" hidden="false" customHeight="false" outlineLevel="0" collapsed="false">
      <c r="A975" s="34"/>
      <c r="B975" s="9"/>
      <c r="C975" s="9"/>
      <c r="D975" s="9"/>
      <c r="E975" s="9"/>
      <c r="F975" s="9"/>
      <c r="G975" s="9"/>
      <c r="H975" s="35"/>
      <c r="I975" s="9"/>
    </row>
    <row r="976" customFormat="false" ht="15" hidden="false" customHeight="false" outlineLevel="0" collapsed="false">
      <c r="A976" s="34"/>
      <c r="B976" s="9"/>
      <c r="C976" s="9"/>
      <c r="D976" s="9"/>
      <c r="E976" s="9"/>
      <c r="F976" s="9"/>
      <c r="G976" s="9"/>
      <c r="H976" s="35"/>
      <c r="I976" s="9"/>
    </row>
    <row r="977" customFormat="false" ht="15" hidden="false" customHeight="false" outlineLevel="0" collapsed="false">
      <c r="A977" s="34"/>
      <c r="B977" s="9"/>
      <c r="C977" s="9"/>
      <c r="D977" s="9"/>
      <c r="E977" s="9"/>
      <c r="F977" s="9"/>
      <c r="G977" s="9"/>
      <c r="H977" s="35"/>
      <c r="I977" s="9"/>
    </row>
    <row r="978" customFormat="false" ht="15" hidden="false" customHeight="false" outlineLevel="0" collapsed="false">
      <c r="A978" s="34"/>
      <c r="B978" s="9"/>
      <c r="C978" s="9"/>
      <c r="D978" s="9"/>
      <c r="E978" s="9"/>
      <c r="F978" s="9"/>
      <c r="G978" s="9"/>
      <c r="H978" s="35"/>
      <c r="I978" s="9"/>
    </row>
    <row r="979" customFormat="false" ht="15" hidden="false" customHeight="false" outlineLevel="0" collapsed="false">
      <c r="A979" s="34"/>
      <c r="B979" s="9"/>
      <c r="C979" s="9"/>
      <c r="D979" s="9"/>
      <c r="E979" s="9"/>
      <c r="F979" s="9"/>
      <c r="G979" s="9"/>
      <c r="H979" s="35"/>
      <c r="I979" s="9"/>
    </row>
    <row r="980" customFormat="false" ht="15" hidden="false" customHeight="false" outlineLevel="0" collapsed="false">
      <c r="A980" s="34"/>
      <c r="B980" s="9"/>
      <c r="C980" s="9"/>
      <c r="D980" s="9"/>
      <c r="E980" s="9"/>
      <c r="F980" s="9"/>
      <c r="G980" s="9"/>
      <c r="H980" s="35"/>
      <c r="I980" s="9"/>
    </row>
    <row r="981" customFormat="false" ht="15" hidden="false" customHeight="false" outlineLevel="0" collapsed="false">
      <c r="A981" s="34"/>
      <c r="B981" s="9"/>
      <c r="C981" s="9"/>
      <c r="D981" s="9"/>
      <c r="E981" s="9"/>
      <c r="F981" s="9"/>
      <c r="G981" s="9"/>
      <c r="H981" s="35"/>
      <c r="I981" s="9"/>
    </row>
    <row r="982" customFormat="false" ht="15" hidden="false" customHeight="false" outlineLevel="0" collapsed="false">
      <c r="A982" s="34"/>
      <c r="B982" s="9"/>
      <c r="C982" s="9"/>
      <c r="D982" s="9"/>
      <c r="E982" s="9"/>
      <c r="F982" s="9"/>
      <c r="G982" s="9"/>
      <c r="H982" s="35"/>
      <c r="I982" s="9"/>
    </row>
    <row r="983" customFormat="false" ht="15" hidden="false" customHeight="false" outlineLevel="0" collapsed="false">
      <c r="A983" s="34"/>
      <c r="B983" s="9"/>
      <c r="C983" s="9"/>
      <c r="D983" s="9"/>
      <c r="E983" s="9"/>
      <c r="F983" s="9"/>
      <c r="G983" s="9"/>
      <c r="H983" s="35"/>
      <c r="I983" s="9"/>
    </row>
    <row r="984" customFormat="false" ht="15" hidden="false" customHeight="false" outlineLevel="0" collapsed="false">
      <c r="A984" s="34"/>
      <c r="B984" s="9"/>
      <c r="C984" s="9"/>
      <c r="D984" s="9"/>
      <c r="E984" s="9"/>
      <c r="F984" s="9"/>
      <c r="G984" s="9"/>
      <c r="H984" s="35"/>
      <c r="I984" s="9"/>
    </row>
    <row r="985" customFormat="false" ht="15" hidden="false" customHeight="false" outlineLevel="0" collapsed="false">
      <c r="A985" s="34"/>
      <c r="B985" s="9"/>
      <c r="C985" s="9"/>
      <c r="D985" s="9"/>
      <c r="E985" s="9"/>
      <c r="F985" s="9"/>
      <c r="G985" s="9"/>
      <c r="H985" s="35"/>
      <c r="I985" s="9"/>
    </row>
    <row r="986" customFormat="false" ht="15" hidden="false" customHeight="false" outlineLevel="0" collapsed="false">
      <c r="A986" s="34"/>
      <c r="B986" s="9"/>
      <c r="C986" s="9"/>
      <c r="D986" s="9"/>
      <c r="E986" s="9"/>
      <c r="F986" s="9"/>
      <c r="G986" s="9"/>
      <c r="H986" s="35"/>
      <c r="I986" s="9"/>
    </row>
    <row r="987" customFormat="false" ht="15" hidden="false" customHeight="false" outlineLevel="0" collapsed="false">
      <c r="A987" s="34"/>
      <c r="B987" s="9"/>
      <c r="C987" s="9"/>
      <c r="D987" s="9"/>
      <c r="E987" s="9"/>
      <c r="F987" s="9"/>
      <c r="G987" s="9"/>
      <c r="H987" s="35"/>
      <c r="I987" s="9"/>
    </row>
    <row r="988" customFormat="false" ht="15" hidden="false" customHeight="false" outlineLevel="0" collapsed="false">
      <c r="A988" s="34"/>
      <c r="B988" s="9"/>
      <c r="C988" s="9"/>
      <c r="D988" s="9"/>
      <c r="E988" s="9"/>
      <c r="F988" s="9"/>
      <c r="G988" s="9"/>
      <c r="H988" s="35"/>
      <c r="I988" s="9"/>
    </row>
    <row r="989" customFormat="false" ht="15" hidden="false" customHeight="false" outlineLevel="0" collapsed="false">
      <c r="A989" s="34"/>
      <c r="B989" s="9"/>
      <c r="C989" s="9"/>
      <c r="D989" s="9"/>
      <c r="E989" s="9"/>
      <c r="F989" s="9"/>
      <c r="G989" s="9"/>
      <c r="H989" s="35"/>
      <c r="I989" s="9"/>
    </row>
    <row r="990" customFormat="false" ht="15" hidden="false" customHeight="false" outlineLevel="0" collapsed="false">
      <c r="A990" s="34"/>
      <c r="B990" s="9"/>
      <c r="C990" s="9"/>
      <c r="D990" s="9"/>
      <c r="E990" s="9"/>
      <c r="F990" s="9"/>
      <c r="G990" s="9"/>
      <c r="H990" s="35"/>
      <c r="I990" s="9"/>
    </row>
    <row r="991" customFormat="false" ht="15" hidden="false" customHeight="false" outlineLevel="0" collapsed="false">
      <c r="A991" s="34"/>
      <c r="B991" s="9"/>
      <c r="C991" s="9"/>
      <c r="D991" s="9"/>
      <c r="E991" s="9"/>
      <c r="F991" s="9"/>
      <c r="G991" s="9"/>
      <c r="H991" s="35"/>
      <c r="I991" s="9"/>
    </row>
    <row r="992" customFormat="false" ht="15" hidden="false" customHeight="false" outlineLevel="0" collapsed="false">
      <c r="A992" s="34"/>
      <c r="B992" s="9"/>
      <c r="C992" s="9"/>
      <c r="D992" s="9"/>
      <c r="E992" s="9"/>
      <c r="F992" s="9"/>
      <c r="G992" s="9"/>
      <c r="H992" s="35"/>
      <c r="I992" s="9"/>
    </row>
    <row r="993" customFormat="false" ht="15" hidden="false" customHeight="false" outlineLevel="0" collapsed="false">
      <c r="A993" s="34"/>
      <c r="B993" s="9"/>
      <c r="C993" s="9"/>
      <c r="D993" s="9"/>
      <c r="E993" s="9"/>
      <c r="F993" s="9"/>
      <c r="G993" s="9"/>
      <c r="H993" s="35"/>
      <c r="I993" s="9"/>
    </row>
    <row r="994" customFormat="false" ht="15" hidden="false" customHeight="false" outlineLevel="0" collapsed="false">
      <c r="A994" s="34"/>
      <c r="B994" s="9"/>
      <c r="C994" s="9"/>
      <c r="D994" s="9"/>
      <c r="E994" s="9"/>
      <c r="F994" s="9"/>
      <c r="G994" s="9"/>
      <c r="H994" s="35"/>
      <c r="I994" s="9"/>
    </row>
    <row r="995" customFormat="false" ht="15" hidden="false" customHeight="false" outlineLevel="0" collapsed="false">
      <c r="A995" s="34"/>
      <c r="B995" s="9"/>
      <c r="C995" s="9"/>
      <c r="D995" s="9"/>
      <c r="E995" s="9"/>
      <c r="F995" s="9"/>
      <c r="G995" s="9"/>
      <c r="H995" s="35"/>
      <c r="I995" s="9"/>
    </row>
    <row r="996" customFormat="false" ht="15" hidden="false" customHeight="false" outlineLevel="0" collapsed="false">
      <c r="A996" s="34"/>
      <c r="B996" s="9"/>
      <c r="C996" s="9"/>
      <c r="D996" s="9"/>
      <c r="E996" s="9"/>
      <c r="F996" s="9"/>
      <c r="G996" s="9"/>
      <c r="H996" s="35"/>
      <c r="I996" s="9"/>
    </row>
    <row r="997" customFormat="false" ht="15" hidden="false" customHeight="false" outlineLevel="0" collapsed="false">
      <c r="A997" s="34"/>
      <c r="B997" s="9"/>
      <c r="C997" s="9"/>
      <c r="D997" s="9"/>
      <c r="E997" s="9"/>
      <c r="F997" s="9"/>
      <c r="G997" s="9"/>
      <c r="H997" s="35"/>
      <c r="I997" s="9"/>
    </row>
    <row r="998" customFormat="false" ht="15" hidden="false" customHeight="false" outlineLevel="0" collapsed="false">
      <c r="A998" s="34"/>
      <c r="B998" s="9"/>
      <c r="C998" s="9"/>
      <c r="D998" s="9"/>
      <c r="E998" s="9"/>
      <c r="F998" s="9"/>
      <c r="G998" s="9"/>
      <c r="H998" s="35"/>
      <c r="I998" s="9"/>
    </row>
    <row r="999" customFormat="false" ht="15" hidden="false" customHeight="false" outlineLevel="0" collapsed="false">
      <c r="A999" s="34"/>
      <c r="B999" s="9"/>
      <c r="C999" s="9"/>
      <c r="D999" s="9"/>
      <c r="E999" s="9"/>
      <c r="F999" s="9"/>
      <c r="G999" s="9"/>
      <c r="H999" s="35"/>
      <c r="I999" s="9"/>
    </row>
    <row r="1000" customFormat="false" ht="15" hidden="false" customHeight="false" outlineLevel="0" collapsed="false">
      <c r="A1000" s="34"/>
      <c r="B1000" s="9"/>
      <c r="C1000" s="9"/>
      <c r="D1000" s="9"/>
      <c r="E1000" s="9"/>
      <c r="F1000" s="9"/>
      <c r="G1000" s="9"/>
      <c r="H1000" s="35"/>
      <c r="I1000" s="9"/>
    </row>
    <row r="1001" customFormat="false" ht="15" hidden="false" customHeight="false" outlineLevel="0" collapsed="false">
      <c r="A1001" s="34"/>
      <c r="B1001" s="9"/>
      <c r="C1001" s="9"/>
      <c r="D1001" s="9"/>
      <c r="E1001" s="9"/>
      <c r="F1001" s="9"/>
      <c r="G1001" s="9"/>
      <c r="H1001" s="35"/>
      <c r="I1001" s="9"/>
    </row>
    <row r="1002" customFormat="false" ht="15" hidden="false" customHeight="false" outlineLevel="0" collapsed="false">
      <c r="A1002" s="34"/>
      <c r="B1002" s="9"/>
      <c r="C1002" s="9"/>
      <c r="D1002" s="9"/>
      <c r="E1002" s="9"/>
      <c r="F1002" s="9"/>
      <c r="G1002" s="9"/>
      <c r="H1002" s="35"/>
      <c r="I1002" s="9"/>
    </row>
    <row r="1003" customFormat="false" ht="15" hidden="false" customHeight="false" outlineLevel="0" collapsed="false">
      <c r="A1003" s="34"/>
      <c r="B1003" s="9"/>
      <c r="C1003" s="9"/>
      <c r="D1003" s="9"/>
      <c r="E1003" s="9"/>
      <c r="F1003" s="9"/>
      <c r="G1003" s="9"/>
      <c r="H1003" s="35"/>
      <c r="I1003" s="9"/>
    </row>
    <row r="1004" customFormat="false" ht="15" hidden="false" customHeight="false" outlineLevel="0" collapsed="false">
      <c r="A1004" s="34"/>
      <c r="B1004" s="9"/>
      <c r="C1004" s="9"/>
      <c r="D1004" s="9"/>
      <c r="E1004" s="9"/>
      <c r="F1004" s="9"/>
      <c r="G1004" s="9"/>
      <c r="H1004" s="35"/>
      <c r="I1004" s="9"/>
    </row>
  </sheetData>
  <autoFilter ref="A4:I1004"/>
  <dataValidations count="3">
    <dataValidation allowBlank="false" errorStyle="stop" operator="between" showDropDown="false" showErrorMessage="false" showInputMessage="false" sqref="F5:F1004" type="list">
      <formula1>Paramètres!$E$5:$E$19</formula1>
      <formula2>0</formula2>
    </dataValidation>
    <dataValidation allowBlank="false" errorStyle="stop" operator="between" showDropDown="false" showErrorMessage="false" showInputMessage="false" sqref="G5:G1004" type="list">
      <formula1>Paramètres!$F$5:$F$19</formula1>
      <formula2>0</formula2>
    </dataValidation>
    <dataValidation allowBlank="false" error="Saisissez une date valide (jj/mm/aaaa)" errorStyle="stop" operator="greaterThan" showDropDown="false" showErrorMessage="true" showInputMessage="false" sqref="A5:A10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H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  <c r="F2" s="29" t="s">
        <v>131</v>
      </c>
      <c r="G2" s="30" t="n">
        <f aca="false">SUM(G5:G1004)</f>
        <v>28.5</v>
      </c>
    </row>
    <row r="4" customFormat="false" ht="31.5" hidden="false" customHeight="true" outlineLevel="0" collapsed="false">
      <c r="A4" s="14" t="s">
        <v>132</v>
      </c>
      <c r="B4" s="14" t="s">
        <v>133</v>
      </c>
      <c r="C4" s="14" t="s">
        <v>134</v>
      </c>
      <c r="D4" s="14" t="s">
        <v>135</v>
      </c>
      <c r="E4" s="14" t="s">
        <v>136</v>
      </c>
      <c r="F4" s="14" t="s">
        <v>121</v>
      </c>
      <c r="G4" s="14" t="s">
        <v>137</v>
      </c>
      <c r="H4" s="14" t="s">
        <v>123</v>
      </c>
    </row>
    <row r="5" customFormat="false" ht="15" hidden="false" customHeight="false" outlineLevel="0" collapsed="false">
      <c r="A5" s="31" t="n">
        <v>46027</v>
      </c>
      <c r="B5" s="32" t="s">
        <v>138</v>
      </c>
      <c r="C5" s="32" t="s">
        <v>139</v>
      </c>
      <c r="D5" s="32" t="s">
        <v>126</v>
      </c>
      <c r="E5" s="32" t="s">
        <v>36</v>
      </c>
      <c r="F5" s="32" t="s">
        <v>46</v>
      </c>
      <c r="G5" s="33" t="n">
        <v>20</v>
      </c>
      <c r="H5" s="32" t="s">
        <v>128</v>
      </c>
    </row>
    <row r="6" customFormat="false" ht="15" hidden="false" customHeight="false" outlineLevel="0" collapsed="false">
      <c r="A6" s="31" t="n">
        <v>46030</v>
      </c>
      <c r="B6" s="32" t="s">
        <v>140</v>
      </c>
      <c r="C6" s="32" t="s">
        <v>141</v>
      </c>
      <c r="D6" s="32" t="s">
        <v>142</v>
      </c>
      <c r="E6" s="32" t="s">
        <v>41</v>
      </c>
      <c r="F6" s="32" t="s">
        <v>40</v>
      </c>
      <c r="G6" s="33" t="n">
        <v>8.5</v>
      </c>
      <c r="H6" s="32" t="s">
        <v>128</v>
      </c>
    </row>
    <row r="7" customFormat="false" ht="15" hidden="false" customHeight="false" outlineLevel="0" collapsed="false">
      <c r="A7" s="34"/>
      <c r="B7" s="9"/>
      <c r="C7" s="9"/>
      <c r="D7" s="9"/>
      <c r="E7" s="9"/>
      <c r="F7" s="9"/>
      <c r="G7" s="35"/>
      <c r="H7" s="9"/>
    </row>
    <row r="8" customFormat="false" ht="15" hidden="false" customHeight="false" outlineLevel="0" collapsed="false">
      <c r="A8" s="34"/>
      <c r="B8" s="9"/>
      <c r="C8" s="9"/>
      <c r="D8" s="9"/>
      <c r="E8" s="9"/>
      <c r="F8" s="9"/>
      <c r="G8" s="35"/>
      <c r="H8" s="9"/>
    </row>
    <row r="9" customFormat="false" ht="15" hidden="false" customHeight="false" outlineLevel="0" collapsed="false">
      <c r="A9" s="34"/>
      <c r="B9" s="9"/>
      <c r="C9" s="9"/>
      <c r="D9" s="9"/>
      <c r="E9" s="9"/>
      <c r="F9" s="9"/>
      <c r="G9" s="35"/>
      <c r="H9" s="9"/>
    </row>
    <row r="10" customFormat="false" ht="15" hidden="false" customHeight="false" outlineLevel="0" collapsed="false">
      <c r="A10" s="34"/>
      <c r="B10" s="9"/>
      <c r="C10" s="9"/>
      <c r="D10" s="9"/>
      <c r="E10" s="9"/>
      <c r="F10" s="9"/>
      <c r="G10" s="35"/>
      <c r="H10" s="9"/>
    </row>
    <row r="11" customFormat="false" ht="15" hidden="false" customHeight="false" outlineLevel="0" collapsed="false">
      <c r="A11" s="34"/>
      <c r="B11" s="9"/>
      <c r="C11" s="9"/>
      <c r="D11" s="9"/>
      <c r="E11" s="9"/>
      <c r="F11" s="9"/>
      <c r="G11" s="35"/>
      <c r="H11" s="9"/>
    </row>
    <row r="12" customFormat="false" ht="15" hidden="false" customHeight="false" outlineLevel="0" collapsed="false">
      <c r="A12" s="34"/>
      <c r="B12" s="9"/>
      <c r="C12" s="9"/>
      <c r="D12" s="9"/>
      <c r="E12" s="9"/>
      <c r="F12" s="9"/>
      <c r="G12" s="35"/>
      <c r="H12" s="9"/>
    </row>
    <row r="13" customFormat="false" ht="15" hidden="false" customHeight="false" outlineLevel="0" collapsed="false">
      <c r="A13" s="34"/>
      <c r="B13" s="9"/>
      <c r="C13" s="9"/>
      <c r="D13" s="9"/>
      <c r="E13" s="9"/>
      <c r="F13" s="9"/>
      <c r="G13" s="35"/>
      <c r="H13" s="9"/>
    </row>
    <row r="14" customFormat="false" ht="15" hidden="false" customHeight="false" outlineLevel="0" collapsed="false">
      <c r="A14" s="34"/>
      <c r="B14" s="9"/>
      <c r="C14" s="9"/>
      <c r="D14" s="9"/>
      <c r="E14" s="9"/>
      <c r="F14" s="9"/>
      <c r="G14" s="35"/>
      <c r="H14" s="9"/>
    </row>
    <row r="15" customFormat="false" ht="15" hidden="false" customHeight="false" outlineLevel="0" collapsed="false">
      <c r="A15" s="34"/>
      <c r="B15" s="9"/>
      <c r="C15" s="9"/>
      <c r="D15" s="9"/>
      <c r="E15" s="9"/>
      <c r="F15" s="9"/>
      <c r="G15" s="35"/>
      <c r="H15" s="9"/>
    </row>
    <row r="16" customFormat="false" ht="15" hidden="false" customHeight="false" outlineLevel="0" collapsed="false">
      <c r="A16" s="34"/>
      <c r="B16" s="9"/>
      <c r="C16" s="9"/>
      <c r="D16" s="9"/>
      <c r="E16" s="9"/>
      <c r="F16" s="9"/>
      <c r="G16" s="35"/>
      <c r="H16" s="9"/>
    </row>
    <row r="17" customFormat="false" ht="15" hidden="false" customHeight="false" outlineLevel="0" collapsed="false">
      <c r="A17" s="34"/>
      <c r="B17" s="9"/>
      <c r="C17" s="9"/>
      <c r="D17" s="9"/>
      <c r="E17" s="9"/>
      <c r="F17" s="9"/>
      <c r="G17" s="35"/>
      <c r="H17" s="9"/>
    </row>
    <row r="18" customFormat="false" ht="15" hidden="false" customHeight="false" outlineLevel="0" collapsed="false">
      <c r="A18" s="34"/>
      <c r="B18" s="9"/>
      <c r="C18" s="9"/>
      <c r="D18" s="9"/>
      <c r="E18" s="9"/>
      <c r="F18" s="9"/>
      <c r="G18" s="35"/>
      <c r="H18" s="9"/>
    </row>
    <row r="19" customFormat="false" ht="15" hidden="false" customHeight="false" outlineLevel="0" collapsed="false">
      <c r="A19" s="34"/>
      <c r="B19" s="9"/>
      <c r="C19" s="9"/>
      <c r="D19" s="9"/>
      <c r="E19" s="9"/>
      <c r="F19" s="9"/>
      <c r="G19" s="35"/>
      <c r="H19" s="9"/>
    </row>
    <row r="20" customFormat="false" ht="15" hidden="false" customHeight="false" outlineLevel="0" collapsed="false">
      <c r="A20" s="34"/>
      <c r="B20" s="9"/>
      <c r="C20" s="9"/>
      <c r="D20" s="9"/>
      <c r="E20" s="9"/>
      <c r="F20" s="9"/>
      <c r="G20" s="35"/>
      <c r="H20" s="9"/>
    </row>
    <row r="21" customFormat="false" ht="15" hidden="false" customHeight="false" outlineLevel="0" collapsed="false">
      <c r="A21" s="34"/>
      <c r="B21" s="9"/>
      <c r="C21" s="9"/>
      <c r="D21" s="9"/>
      <c r="E21" s="9"/>
      <c r="F21" s="9"/>
      <c r="G21" s="35"/>
      <c r="H21" s="9"/>
    </row>
    <row r="22" customFormat="false" ht="15" hidden="false" customHeight="false" outlineLevel="0" collapsed="false">
      <c r="A22" s="34"/>
      <c r="B22" s="9"/>
      <c r="C22" s="9"/>
      <c r="D22" s="9"/>
      <c r="E22" s="9"/>
      <c r="F22" s="9"/>
      <c r="G22" s="35"/>
      <c r="H22" s="9"/>
    </row>
    <row r="23" customFormat="false" ht="15" hidden="false" customHeight="false" outlineLevel="0" collapsed="false">
      <c r="A23" s="34"/>
      <c r="B23" s="9"/>
      <c r="C23" s="9"/>
      <c r="D23" s="9"/>
      <c r="E23" s="9"/>
      <c r="F23" s="9"/>
      <c r="G23" s="35"/>
      <c r="H23" s="9"/>
    </row>
    <row r="24" customFormat="false" ht="15" hidden="false" customHeight="false" outlineLevel="0" collapsed="false">
      <c r="A24" s="34"/>
      <c r="B24" s="9"/>
      <c r="C24" s="9"/>
      <c r="D24" s="9"/>
      <c r="E24" s="9"/>
      <c r="F24" s="9"/>
      <c r="G24" s="35"/>
      <c r="H24" s="9"/>
    </row>
    <row r="25" customFormat="false" ht="15" hidden="false" customHeight="false" outlineLevel="0" collapsed="false">
      <c r="A25" s="34"/>
      <c r="B25" s="9"/>
      <c r="C25" s="9"/>
      <c r="D25" s="9"/>
      <c r="E25" s="9"/>
      <c r="F25" s="9"/>
      <c r="G25" s="35"/>
      <c r="H25" s="9"/>
    </row>
    <row r="26" customFormat="false" ht="15" hidden="false" customHeight="false" outlineLevel="0" collapsed="false">
      <c r="A26" s="34"/>
      <c r="B26" s="9"/>
      <c r="C26" s="9"/>
      <c r="D26" s="9"/>
      <c r="E26" s="9"/>
      <c r="F26" s="9"/>
      <c r="G26" s="35"/>
      <c r="H26" s="9"/>
    </row>
    <row r="27" customFormat="false" ht="15" hidden="false" customHeight="false" outlineLevel="0" collapsed="false">
      <c r="A27" s="34"/>
      <c r="B27" s="9"/>
      <c r="C27" s="9"/>
      <c r="D27" s="9"/>
      <c r="E27" s="9"/>
      <c r="F27" s="9"/>
      <c r="G27" s="35"/>
      <c r="H27" s="9"/>
    </row>
    <row r="28" customFormat="false" ht="15" hidden="false" customHeight="false" outlineLevel="0" collapsed="false">
      <c r="A28" s="34"/>
      <c r="B28" s="9"/>
      <c r="C28" s="9"/>
      <c r="D28" s="9"/>
      <c r="E28" s="9"/>
      <c r="F28" s="9"/>
      <c r="G28" s="35"/>
      <c r="H28" s="9"/>
    </row>
    <row r="29" customFormat="false" ht="15" hidden="false" customHeight="false" outlineLevel="0" collapsed="false">
      <c r="A29" s="34"/>
      <c r="B29" s="9"/>
      <c r="C29" s="9"/>
      <c r="D29" s="9"/>
      <c r="E29" s="9"/>
      <c r="F29" s="9"/>
      <c r="G29" s="35"/>
      <c r="H29" s="9"/>
    </row>
    <row r="30" customFormat="false" ht="15" hidden="false" customHeight="false" outlineLevel="0" collapsed="false">
      <c r="A30" s="34"/>
      <c r="B30" s="9"/>
      <c r="C30" s="9"/>
      <c r="D30" s="9"/>
      <c r="E30" s="9"/>
      <c r="F30" s="9"/>
      <c r="G30" s="35"/>
      <c r="H30" s="9"/>
    </row>
    <row r="31" customFormat="false" ht="15" hidden="false" customHeight="false" outlineLevel="0" collapsed="false">
      <c r="A31" s="34"/>
      <c r="B31" s="9"/>
      <c r="C31" s="9"/>
      <c r="D31" s="9"/>
      <c r="E31" s="9"/>
      <c r="F31" s="9"/>
      <c r="G31" s="35"/>
      <c r="H31" s="9"/>
    </row>
    <row r="32" customFormat="false" ht="15" hidden="false" customHeight="false" outlineLevel="0" collapsed="false">
      <c r="A32" s="34"/>
      <c r="B32" s="9"/>
      <c r="C32" s="9"/>
      <c r="D32" s="9"/>
      <c r="E32" s="9"/>
      <c r="F32" s="9"/>
      <c r="G32" s="35"/>
      <c r="H32" s="9"/>
    </row>
    <row r="33" customFormat="false" ht="15" hidden="false" customHeight="false" outlineLevel="0" collapsed="false">
      <c r="A33" s="34"/>
      <c r="B33" s="9"/>
      <c r="C33" s="9"/>
      <c r="D33" s="9"/>
      <c r="E33" s="9"/>
      <c r="F33" s="9"/>
      <c r="G33" s="35"/>
      <c r="H33" s="9"/>
    </row>
    <row r="34" customFormat="false" ht="15" hidden="false" customHeight="false" outlineLevel="0" collapsed="false">
      <c r="A34" s="34"/>
      <c r="B34" s="9"/>
      <c r="C34" s="9"/>
      <c r="D34" s="9"/>
      <c r="E34" s="9"/>
      <c r="F34" s="9"/>
      <c r="G34" s="35"/>
      <c r="H34" s="9"/>
    </row>
    <row r="35" customFormat="false" ht="15" hidden="false" customHeight="false" outlineLevel="0" collapsed="false">
      <c r="A35" s="34"/>
      <c r="B35" s="9"/>
      <c r="C35" s="9"/>
      <c r="D35" s="9"/>
      <c r="E35" s="9"/>
      <c r="F35" s="9"/>
      <c r="G35" s="35"/>
      <c r="H35" s="9"/>
    </row>
    <row r="36" customFormat="false" ht="15" hidden="false" customHeight="false" outlineLevel="0" collapsed="false">
      <c r="A36" s="34"/>
      <c r="B36" s="9"/>
      <c r="C36" s="9"/>
      <c r="D36" s="9"/>
      <c r="E36" s="9"/>
      <c r="F36" s="9"/>
      <c r="G36" s="35"/>
      <c r="H36" s="9"/>
    </row>
    <row r="37" customFormat="false" ht="15" hidden="false" customHeight="false" outlineLevel="0" collapsed="false">
      <c r="A37" s="34"/>
      <c r="B37" s="9"/>
      <c r="C37" s="9"/>
      <c r="D37" s="9"/>
      <c r="E37" s="9"/>
      <c r="F37" s="9"/>
      <c r="G37" s="35"/>
      <c r="H37" s="9"/>
    </row>
    <row r="38" customFormat="false" ht="15" hidden="false" customHeight="false" outlineLevel="0" collapsed="false">
      <c r="A38" s="34"/>
      <c r="B38" s="9"/>
      <c r="C38" s="9"/>
      <c r="D38" s="9"/>
      <c r="E38" s="9"/>
      <c r="F38" s="9"/>
      <c r="G38" s="35"/>
      <c r="H38" s="9"/>
    </row>
    <row r="39" customFormat="false" ht="15" hidden="false" customHeight="false" outlineLevel="0" collapsed="false">
      <c r="A39" s="34"/>
      <c r="B39" s="9"/>
      <c r="C39" s="9"/>
      <c r="D39" s="9"/>
      <c r="E39" s="9"/>
      <c r="F39" s="9"/>
      <c r="G39" s="35"/>
      <c r="H39" s="9"/>
    </row>
    <row r="40" customFormat="false" ht="15" hidden="false" customHeight="false" outlineLevel="0" collapsed="false">
      <c r="A40" s="34"/>
      <c r="B40" s="9"/>
      <c r="C40" s="9"/>
      <c r="D40" s="9"/>
      <c r="E40" s="9"/>
      <c r="F40" s="9"/>
      <c r="G40" s="35"/>
      <c r="H40" s="9"/>
    </row>
    <row r="41" customFormat="false" ht="15" hidden="false" customHeight="false" outlineLevel="0" collapsed="false">
      <c r="A41" s="34"/>
      <c r="B41" s="9"/>
      <c r="C41" s="9"/>
      <c r="D41" s="9"/>
      <c r="E41" s="9"/>
      <c r="F41" s="9"/>
      <c r="G41" s="35"/>
      <c r="H41" s="9"/>
    </row>
    <row r="42" customFormat="false" ht="15" hidden="false" customHeight="false" outlineLevel="0" collapsed="false">
      <c r="A42" s="34"/>
      <c r="B42" s="9"/>
      <c r="C42" s="9"/>
      <c r="D42" s="9"/>
      <c r="E42" s="9"/>
      <c r="F42" s="9"/>
      <c r="G42" s="35"/>
      <c r="H42" s="9"/>
    </row>
    <row r="43" customFormat="false" ht="15" hidden="false" customHeight="false" outlineLevel="0" collapsed="false">
      <c r="A43" s="34"/>
      <c r="B43" s="9"/>
      <c r="C43" s="9"/>
      <c r="D43" s="9"/>
      <c r="E43" s="9"/>
      <c r="F43" s="9"/>
      <c r="G43" s="35"/>
      <c r="H43" s="9"/>
    </row>
    <row r="44" customFormat="false" ht="15" hidden="false" customHeight="false" outlineLevel="0" collapsed="false">
      <c r="A44" s="34"/>
      <c r="B44" s="9"/>
      <c r="C44" s="9"/>
      <c r="D44" s="9"/>
      <c r="E44" s="9"/>
      <c r="F44" s="9"/>
      <c r="G44" s="35"/>
      <c r="H44" s="9"/>
    </row>
    <row r="45" customFormat="false" ht="15" hidden="false" customHeight="false" outlineLevel="0" collapsed="false">
      <c r="A45" s="34"/>
      <c r="B45" s="9"/>
      <c r="C45" s="9"/>
      <c r="D45" s="9"/>
      <c r="E45" s="9"/>
      <c r="F45" s="9"/>
      <c r="G45" s="35"/>
      <c r="H45" s="9"/>
    </row>
    <row r="46" customFormat="false" ht="15" hidden="false" customHeight="false" outlineLevel="0" collapsed="false">
      <c r="A46" s="34"/>
      <c r="B46" s="9"/>
      <c r="C46" s="9"/>
      <c r="D46" s="9"/>
      <c r="E46" s="9"/>
      <c r="F46" s="9"/>
      <c r="G46" s="35"/>
      <c r="H46" s="9"/>
    </row>
    <row r="47" customFormat="false" ht="15" hidden="false" customHeight="false" outlineLevel="0" collapsed="false">
      <c r="A47" s="34"/>
      <c r="B47" s="9"/>
      <c r="C47" s="9"/>
      <c r="D47" s="9"/>
      <c r="E47" s="9"/>
      <c r="F47" s="9"/>
      <c r="G47" s="35"/>
      <c r="H47" s="9"/>
    </row>
    <row r="48" customFormat="false" ht="15" hidden="false" customHeight="false" outlineLevel="0" collapsed="false">
      <c r="A48" s="34"/>
      <c r="B48" s="9"/>
      <c r="C48" s="9"/>
      <c r="D48" s="9"/>
      <c r="E48" s="9"/>
      <c r="F48" s="9"/>
      <c r="G48" s="35"/>
      <c r="H48" s="9"/>
    </row>
    <row r="49" customFormat="false" ht="15" hidden="false" customHeight="false" outlineLevel="0" collapsed="false">
      <c r="A49" s="34"/>
      <c r="B49" s="9"/>
      <c r="C49" s="9"/>
      <c r="D49" s="9"/>
      <c r="E49" s="9"/>
      <c r="F49" s="9"/>
      <c r="G49" s="35"/>
      <c r="H49" s="9"/>
    </row>
    <row r="50" customFormat="false" ht="15" hidden="false" customHeight="false" outlineLevel="0" collapsed="false">
      <c r="A50" s="34"/>
      <c r="B50" s="9"/>
      <c r="C50" s="9"/>
      <c r="D50" s="9"/>
      <c r="E50" s="9"/>
      <c r="F50" s="9"/>
      <c r="G50" s="35"/>
      <c r="H50" s="9"/>
    </row>
    <row r="51" customFormat="false" ht="15" hidden="false" customHeight="false" outlineLevel="0" collapsed="false">
      <c r="A51" s="34"/>
      <c r="B51" s="9"/>
      <c r="C51" s="9"/>
      <c r="D51" s="9"/>
      <c r="E51" s="9"/>
      <c r="F51" s="9"/>
      <c r="G51" s="35"/>
      <c r="H51" s="9"/>
    </row>
    <row r="52" customFormat="false" ht="15" hidden="false" customHeight="false" outlineLevel="0" collapsed="false">
      <c r="A52" s="34"/>
      <c r="B52" s="9"/>
      <c r="C52" s="9"/>
      <c r="D52" s="9"/>
      <c r="E52" s="9"/>
      <c r="F52" s="9"/>
      <c r="G52" s="35"/>
      <c r="H52" s="9"/>
    </row>
    <row r="53" customFormat="false" ht="15" hidden="false" customHeight="false" outlineLevel="0" collapsed="false">
      <c r="A53" s="34"/>
      <c r="B53" s="9"/>
      <c r="C53" s="9"/>
      <c r="D53" s="9"/>
      <c r="E53" s="9"/>
      <c r="F53" s="9"/>
      <c r="G53" s="35"/>
      <c r="H53" s="9"/>
    </row>
    <row r="54" customFormat="false" ht="15" hidden="false" customHeight="false" outlineLevel="0" collapsed="false">
      <c r="A54" s="34"/>
      <c r="B54" s="9"/>
      <c r="C54" s="9"/>
      <c r="D54" s="9"/>
      <c r="E54" s="9"/>
      <c r="F54" s="9"/>
      <c r="G54" s="35"/>
      <c r="H54" s="9"/>
    </row>
    <row r="55" customFormat="false" ht="15" hidden="false" customHeight="false" outlineLevel="0" collapsed="false">
      <c r="A55" s="34"/>
      <c r="B55" s="9"/>
      <c r="C55" s="9"/>
      <c r="D55" s="9"/>
      <c r="E55" s="9"/>
      <c r="F55" s="9"/>
      <c r="G55" s="35"/>
      <c r="H55" s="9"/>
    </row>
    <row r="56" customFormat="false" ht="15" hidden="false" customHeight="false" outlineLevel="0" collapsed="false">
      <c r="A56" s="34"/>
      <c r="B56" s="9"/>
      <c r="C56" s="9"/>
      <c r="D56" s="9"/>
      <c r="E56" s="9"/>
      <c r="F56" s="9"/>
      <c r="G56" s="35"/>
      <c r="H56" s="9"/>
    </row>
    <row r="57" customFormat="false" ht="15" hidden="false" customHeight="false" outlineLevel="0" collapsed="false">
      <c r="A57" s="34"/>
      <c r="B57" s="9"/>
      <c r="C57" s="9"/>
      <c r="D57" s="9"/>
      <c r="E57" s="9"/>
      <c r="F57" s="9"/>
      <c r="G57" s="35"/>
      <c r="H57" s="9"/>
    </row>
    <row r="58" customFormat="false" ht="15" hidden="false" customHeight="false" outlineLevel="0" collapsed="false">
      <c r="A58" s="34"/>
      <c r="B58" s="9"/>
      <c r="C58" s="9"/>
      <c r="D58" s="9"/>
      <c r="E58" s="9"/>
      <c r="F58" s="9"/>
      <c r="G58" s="35"/>
      <c r="H58" s="9"/>
    </row>
    <row r="59" customFormat="false" ht="15" hidden="false" customHeight="false" outlineLevel="0" collapsed="false">
      <c r="A59" s="34"/>
      <c r="B59" s="9"/>
      <c r="C59" s="9"/>
      <c r="D59" s="9"/>
      <c r="E59" s="9"/>
      <c r="F59" s="9"/>
      <c r="G59" s="35"/>
      <c r="H59" s="9"/>
    </row>
    <row r="60" customFormat="false" ht="15" hidden="false" customHeight="false" outlineLevel="0" collapsed="false">
      <c r="A60" s="34"/>
      <c r="B60" s="9"/>
      <c r="C60" s="9"/>
      <c r="D60" s="9"/>
      <c r="E60" s="9"/>
      <c r="F60" s="9"/>
      <c r="G60" s="35"/>
      <c r="H60" s="9"/>
    </row>
    <row r="61" customFormat="false" ht="15" hidden="false" customHeight="false" outlineLevel="0" collapsed="false">
      <c r="A61" s="34"/>
      <c r="B61" s="9"/>
      <c r="C61" s="9"/>
      <c r="D61" s="9"/>
      <c r="E61" s="9"/>
      <c r="F61" s="9"/>
      <c r="G61" s="35"/>
      <c r="H61" s="9"/>
    </row>
    <row r="62" customFormat="false" ht="15" hidden="false" customHeight="false" outlineLevel="0" collapsed="false">
      <c r="A62" s="34"/>
      <c r="B62" s="9"/>
      <c r="C62" s="9"/>
      <c r="D62" s="9"/>
      <c r="E62" s="9"/>
      <c r="F62" s="9"/>
      <c r="G62" s="35"/>
      <c r="H62" s="9"/>
    </row>
    <row r="63" customFormat="false" ht="15" hidden="false" customHeight="false" outlineLevel="0" collapsed="false">
      <c r="A63" s="34"/>
      <c r="B63" s="9"/>
      <c r="C63" s="9"/>
      <c r="D63" s="9"/>
      <c r="E63" s="9"/>
      <c r="F63" s="9"/>
      <c r="G63" s="35"/>
      <c r="H63" s="9"/>
    </row>
    <row r="64" customFormat="false" ht="15" hidden="false" customHeight="false" outlineLevel="0" collapsed="false">
      <c r="A64" s="34"/>
      <c r="B64" s="9"/>
      <c r="C64" s="9"/>
      <c r="D64" s="9"/>
      <c r="E64" s="9"/>
      <c r="F64" s="9"/>
      <c r="G64" s="35"/>
      <c r="H64" s="9"/>
    </row>
    <row r="65" customFormat="false" ht="15" hidden="false" customHeight="false" outlineLevel="0" collapsed="false">
      <c r="A65" s="34"/>
      <c r="B65" s="9"/>
      <c r="C65" s="9"/>
      <c r="D65" s="9"/>
      <c r="E65" s="9"/>
      <c r="F65" s="9"/>
      <c r="G65" s="35"/>
      <c r="H65" s="9"/>
    </row>
    <row r="66" customFormat="false" ht="15" hidden="false" customHeight="false" outlineLevel="0" collapsed="false">
      <c r="A66" s="34"/>
      <c r="B66" s="9"/>
      <c r="C66" s="9"/>
      <c r="D66" s="9"/>
      <c r="E66" s="9"/>
      <c r="F66" s="9"/>
      <c r="G66" s="35"/>
      <c r="H66" s="9"/>
    </row>
    <row r="67" customFormat="false" ht="15" hidden="false" customHeight="false" outlineLevel="0" collapsed="false">
      <c r="A67" s="34"/>
      <c r="B67" s="9"/>
      <c r="C67" s="9"/>
      <c r="D67" s="9"/>
      <c r="E67" s="9"/>
      <c r="F67" s="9"/>
      <c r="G67" s="35"/>
      <c r="H67" s="9"/>
    </row>
    <row r="68" customFormat="false" ht="15" hidden="false" customHeight="false" outlineLevel="0" collapsed="false">
      <c r="A68" s="34"/>
      <c r="B68" s="9"/>
      <c r="C68" s="9"/>
      <c r="D68" s="9"/>
      <c r="E68" s="9"/>
      <c r="F68" s="9"/>
      <c r="G68" s="35"/>
      <c r="H68" s="9"/>
    </row>
    <row r="69" customFormat="false" ht="15" hidden="false" customHeight="false" outlineLevel="0" collapsed="false">
      <c r="A69" s="34"/>
      <c r="B69" s="9"/>
      <c r="C69" s="9"/>
      <c r="D69" s="9"/>
      <c r="E69" s="9"/>
      <c r="F69" s="9"/>
      <c r="G69" s="35"/>
      <c r="H69" s="9"/>
    </row>
    <row r="70" customFormat="false" ht="15" hidden="false" customHeight="false" outlineLevel="0" collapsed="false">
      <c r="A70" s="34"/>
      <c r="B70" s="9"/>
      <c r="C70" s="9"/>
      <c r="D70" s="9"/>
      <c r="E70" s="9"/>
      <c r="F70" s="9"/>
      <c r="G70" s="35"/>
      <c r="H70" s="9"/>
    </row>
    <row r="71" customFormat="false" ht="15" hidden="false" customHeight="false" outlineLevel="0" collapsed="false">
      <c r="A71" s="34"/>
      <c r="B71" s="9"/>
      <c r="C71" s="9"/>
      <c r="D71" s="9"/>
      <c r="E71" s="9"/>
      <c r="F71" s="9"/>
      <c r="G71" s="35"/>
      <c r="H71" s="9"/>
    </row>
    <row r="72" customFormat="false" ht="15" hidden="false" customHeight="false" outlineLevel="0" collapsed="false">
      <c r="A72" s="34"/>
      <c r="B72" s="9"/>
      <c r="C72" s="9"/>
      <c r="D72" s="9"/>
      <c r="E72" s="9"/>
      <c r="F72" s="9"/>
      <c r="G72" s="35"/>
      <c r="H72" s="9"/>
    </row>
    <row r="73" customFormat="false" ht="15" hidden="false" customHeight="false" outlineLevel="0" collapsed="false">
      <c r="A73" s="34"/>
      <c r="B73" s="9"/>
      <c r="C73" s="9"/>
      <c r="D73" s="9"/>
      <c r="E73" s="9"/>
      <c r="F73" s="9"/>
      <c r="G73" s="35"/>
      <c r="H73" s="9"/>
    </row>
    <row r="74" customFormat="false" ht="15" hidden="false" customHeight="false" outlineLevel="0" collapsed="false">
      <c r="A74" s="34"/>
      <c r="B74" s="9"/>
      <c r="C74" s="9"/>
      <c r="D74" s="9"/>
      <c r="E74" s="9"/>
      <c r="F74" s="9"/>
      <c r="G74" s="35"/>
      <c r="H74" s="9"/>
    </row>
    <row r="75" customFormat="false" ht="15" hidden="false" customHeight="false" outlineLevel="0" collapsed="false">
      <c r="A75" s="34"/>
      <c r="B75" s="9"/>
      <c r="C75" s="9"/>
      <c r="D75" s="9"/>
      <c r="E75" s="9"/>
      <c r="F75" s="9"/>
      <c r="G75" s="35"/>
      <c r="H75" s="9"/>
    </row>
    <row r="76" customFormat="false" ht="15" hidden="false" customHeight="false" outlineLevel="0" collapsed="false">
      <c r="A76" s="34"/>
      <c r="B76" s="9"/>
      <c r="C76" s="9"/>
      <c r="D76" s="9"/>
      <c r="E76" s="9"/>
      <c r="F76" s="9"/>
      <c r="G76" s="35"/>
      <c r="H76" s="9"/>
    </row>
    <row r="77" customFormat="false" ht="15" hidden="false" customHeight="false" outlineLevel="0" collapsed="false">
      <c r="A77" s="34"/>
      <c r="B77" s="9"/>
      <c r="C77" s="9"/>
      <c r="D77" s="9"/>
      <c r="E77" s="9"/>
      <c r="F77" s="9"/>
      <c r="G77" s="35"/>
      <c r="H77" s="9"/>
    </row>
    <row r="78" customFormat="false" ht="15" hidden="false" customHeight="false" outlineLevel="0" collapsed="false">
      <c r="A78" s="34"/>
      <c r="B78" s="9"/>
      <c r="C78" s="9"/>
      <c r="D78" s="9"/>
      <c r="E78" s="9"/>
      <c r="F78" s="9"/>
      <c r="G78" s="35"/>
      <c r="H78" s="9"/>
    </row>
    <row r="79" customFormat="false" ht="15" hidden="false" customHeight="false" outlineLevel="0" collapsed="false">
      <c r="A79" s="34"/>
      <c r="B79" s="9"/>
      <c r="C79" s="9"/>
      <c r="D79" s="9"/>
      <c r="E79" s="9"/>
      <c r="F79" s="9"/>
      <c r="G79" s="35"/>
      <c r="H79" s="9"/>
    </row>
    <row r="80" customFormat="false" ht="15" hidden="false" customHeight="false" outlineLevel="0" collapsed="false">
      <c r="A80" s="34"/>
      <c r="B80" s="9"/>
      <c r="C80" s="9"/>
      <c r="D80" s="9"/>
      <c r="E80" s="9"/>
      <c r="F80" s="9"/>
      <c r="G80" s="35"/>
      <c r="H80" s="9"/>
    </row>
    <row r="81" customFormat="false" ht="15" hidden="false" customHeight="false" outlineLevel="0" collapsed="false">
      <c r="A81" s="34"/>
      <c r="B81" s="9"/>
      <c r="C81" s="9"/>
      <c r="D81" s="9"/>
      <c r="E81" s="9"/>
      <c r="F81" s="9"/>
      <c r="G81" s="35"/>
      <c r="H81" s="9"/>
    </row>
    <row r="82" customFormat="false" ht="15" hidden="false" customHeight="false" outlineLevel="0" collapsed="false">
      <c r="A82" s="34"/>
      <c r="B82" s="9"/>
      <c r="C82" s="9"/>
      <c r="D82" s="9"/>
      <c r="E82" s="9"/>
      <c r="F82" s="9"/>
      <c r="G82" s="35"/>
      <c r="H82" s="9"/>
    </row>
    <row r="83" customFormat="false" ht="15" hidden="false" customHeight="false" outlineLevel="0" collapsed="false">
      <c r="A83" s="34"/>
      <c r="B83" s="9"/>
      <c r="C83" s="9"/>
      <c r="D83" s="9"/>
      <c r="E83" s="9"/>
      <c r="F83" s="9"/>
      <c r="G83" s="35"/>
      <c r="H83" s="9"/>
    </row>
    <row r="84" customFormat="false" ht="15" hidden="false" customHeight="false" outlineLevel="0" collapsed="false">
      <c r="A84" s="34"/>
      <c r="B84" s="9"/>
      <c r="C84" s="9"/>
      <c r="D84" s="9"/>
      <c r="E84" s="9"/>
      <c r="F84" s="9"/>
      <c r="G84" s="35"/>
      <c r="H84" s="9"/>
    </row>
    <row r="85" customFormat="false" ht="15" hidden="false" customHeight="false" outlineLevel="0" collapsed="false">
      <c r="A85" s="34"/>
      <c r="B85" s="9"/>
      <c r="C85" s="9"/>
      <c r="D85" s="9"/>
      <c r="E85" s="9"/>
      <c r="F85" s="9"/>
      <c r="G85" s="35"/>
      <c r="H85" s="9"/>
    </row>
    <row r="86" customFormat="false" ht="15" hidden="false" customHeight="false" outlineLevel="0" collapsed="false">
      <c r="A86" s="34"/>
      <c r="B86" s="9"/>
      <c r="C86" s="9"/>
      <c r="D86" s="9"/>
      <c r="E86" s="9"/>
      <c r="F86" s="9"/>
      <c r="G86" s="35"/>
      <c r="H86" s="9"/>
    </row>
    <row r="87" customFormat="false" ht="15" hidden="false" customHeight="false" outlineLevel="0" collapsed="false">
      <c r="A87" s="34"/>
      <c r="B87" s="9"/>
      <c r="C87" s="9"/>
      <c r="D87" s="9"/>
      <c r="E87" s="9"/>
      <c r="F87" s="9"/>
      <c r="G87" s="35"/>
      <c r="H87" s="9"/>
    </row>
    <row r="88" customFormat="false" ht="15" hidden="false" customHeight="false" outlineLevel="0" collapsed="false">
      <c r="A88" s="34"/>
      <c r="B88" s="9"/>
      <c r="C88" s="9"/>
      <c r="D88" s="9"/>
      <c r="E88" s="9"/>
      <c r="F88" s="9"/>
      <c r="G88" s="35"/>
      <c r="H88" s="9"/>
    </row>
    <row r="89" customFormat="false" ht="15" hidden="false" customHeight="false" outlineLevel="0" collapsed="false">
      <c r="A89" s="34"/>
      <c r="B89" s="9"/>
      <c r="C89" s="9"/>
      <c r="D89" s="9"/>
      <c r="E89" s="9"/>
      <c r="F89" s="9"/>
      <c r="G89" s="35"/>
      <c r="H89" s="9"/>
    </row>
    <row r="90" customFormat="false" ht="15" hidden="false" customHeight="false" outlineLevel="0" collapsed="false">
      <c r="A90" s="34"/>
      <c r="B90" s="9"/>
      <c r="C90" s="9"/>
      <c r="D90" s="9"/>
      <c r="E90" s="9"/>
      <c r="F90" s="9"/>
      <c r="G90" s="35"/>
      <c r="H90" s="9"/>
    </row>
    <row r="91" customFormat="false" ht="15" hidden="false" customHeight="false" outlineLevel="0" collapsed="false">
      <c r="A91" s="34"/>
      <c r="B91" s="9"/>
      <c r="C91" s="9"/>
      <c r="D91" s="9"/>
      <c r="E91" s="9"/>
      <c r="F91" s="9"/>
      <c r="G91" s="35"/>
      <c r="H91" s="9"/>
    </row>
    <row r="92" customFormat="false" ht="15" hidden="false" customHeight="false" outlineLevel="0" collapsed="false">
      <c r="A92" s="34"/>
      <c r="B92" s="9"/>
      <c r="C92" s="9"/>
      <c r="D92" s="9"/>
      <c r="E92" s="9"/>
      <c r="F92" s="9"/>
      <c r="G92" s="35"/>
      <c r="H92" s="9"/>
    </row>
    <row r="93" customFormat="false" ht="15" hidden="false" customHeight="false" outlineLevel="0" collapsed="false">
      <c r="A93" s="34"/>
      <c r="B93" s="9"/>
      <c r="C93" s="9"/>
      <c r="D93" s="9"/>
      <c r="E93" s="9"/>
      <c r="F93" s="9"/>
      <c r="G93" s="35"/>
      <c r="H93" s="9"/>
    </row>
    <row r="94" customFormat="false" ht="15" hidden="false" customHeight="false" outlineLevel="0" collapsed="false">
      <c r="A94" s="34"/>
      <c r="B94" s="9"/>
      <c r="C94" s="9"/>
      <c r="D94" s="9"/>
      <c r="E94" s="9"/>
      <c r="F94" s="9"/>
      <c r="G94" s="35"/>
      <c r="H94" s="9"/>
    </row>
    <row r="95" customFormat="false" ht="15" hidden="false" customHeight="false" outlineLevel="0" collapsed="false">
      <c r="A95" s="34"/>
      <c r="B95" s="9"/>
      <c r="C95" s="9"/>
      <c r="D95" s="9"/>
      <c r="E95" s="9"/>
      <c r="F95" s="9"/>
      <c r="G95" s="35"/>
      <c r="H95" s="9"/>
    </row>
    <row r="96" customFormat="false" ht="15" hidden="false" customHeight="false" outlineLevel="0" collapsed="false">
      <c r="A96" s="34"/>
      <c r="B96" s="9"/>
      <c r="C96" s="9"/>
      <c r="D96" s="9"/>
      <c r="E96" s="9"/>
      <c r="F96" s="9"/>
      <c r="G96" s="35"/>
      <c r="H96" s="9"/>
    </row>
    <row r="97" customFormat="false" ht="15" hidden="false" customHeight="false" outlineLevel="0" collapsed="false">
      <c r="A97" s="34"/>
      <c r="B97" s="9"/>
      <c r="C97" s="9"/>
      <c r="D97" s="9"/>
      <c r="E97" s="9"/>
      <c r="F97" s="9"/>
      <c r="G97" s="35"/>
      <c r="H97" s="9"/>
    </row>
    <row r="98" customFormat="false" ht="15" hidden="false" customHeight="false" outlineLevel="0" collapsed="false">
      <c r="A98" s="34"/>
      <c r="B98" s="9"/>
      <c r="C98" s="9"/>
      <c r="D98" s="9"/>
      <c r="E98" s="9"/>
      <c r="F98" s="9"/>
      <c r="G98" s="35"/>
      <c r="H98" s="9"/>
    </row>
    <row r="99" customFormat="false" ht="15" hidden="false" customHeight="false" outlineLevel="0" collapsed="false">
      <c r="A99" s="34"/>
      <c r="B99" s="9"/>
      <c r="C99" s="9"/>
      <c r="D99" s="9"/>
      <c r="E99" s="9"/>
      <c r="F99" s="9"/>
      <c r="G99" s="35"/>
      <c r="H99" s="9"/>
    </row>
    <row r="100" customFormat="false" ht="15" hidden="false" customHeight="false" outlineLevel="0" collapsed="false">
      <c r="A100" s="34"/>
      <c r="B100" s="9"/>
      <c r="C100" s="9"/>
      <c r="D100" s="9"/>
      <c r="E100" s="9"/>
      <c r="F100" s="9"/>
      <c r="G100" s="35"/>
      <c r="H100" s="9"/>
    </row>
    <row r="101" customFormat="false" ht="15" hidden="false" customHeight="false" outlineLevel="0" collapsed="false">
      <c r="A101" s="34"/>
      <c r="B101" s="9"/>
      <c r="C101" s="9"/>
      <c r="D101" s="9"/>
      <c r="E101" s="9"/>
      <c r="F101" s="9"/>
      <c r="G101" s="35"/>
      <c r="H101" s="9"/>
    </row>
    <row r="102" customFormat="false" ht="15" hidden="false" customHeight="false" outlineLevel="0" collapsed="false">
      <c r="A102" s="34"/>
      <c r="B102" s="9"/>
      <c r="C102" s="9"/>
      <c r="D102" s="9"/>
      <c r="E102" s="9"/>
      <c r="F102" s="9"/>
      <c r="G102" s="35"/>
      <c r="H102" s="9"/>
    </row>
    <row r="103" customFormat="false" ht="15" hidden="false" customHeight="false" outlineLevel="0" collapsed="false">
      <c r="A103" s="34"/>
      <c r="B103" s="9"/>
      <c r="C103" s="9"/>
      <c r="D103" s="9"/>
      <c r="E103" s="9"/>
      <c r="F103" s="9"/>
      <c r="G103" s="35"/>
      <c r="H103" s="9"/>
    </row>
    <row r="104" customFormat="false" ht="15" hidden="false" customHeight="false" outlineLevel="0" collapsed="false">
      <c r="A104" s="34"/>
      <c r="B104" s="9"/>
      <c r="C104" s="9"/>
      <c r="D104" s="9"/>
      <c r="E104" s="9"/>
      <c r="F104" s="9"/>
      <c r="G104" s="35"/>
      <c r="H104" s="9"/>
    </row>
    <row r="105" customFormat="false" ht="15" hidden="false" customHeight="false" outlineLevel="0" collapsed="false">
      <c r="A105" s="34"/>
      <c r="B105" s="9"/>
      <c r="C105" s="9"/>
      <c r="D105" s="9"/>
      <c r="E105" s="9"/>
      <c r="F105" s="9"/>
      <c r="G105" s="35"/>
      <c r="H105" s="9"/>
    </row>
    <row r="106" customFormat="false" ht="15" hidden="false" customHeight="false" outlineLevel="0" collapsed="false">
      <c r="A106" s="34"/>
      <c r="B106" s="9"/>
      <c r="C106" s="9"/>
      <c r="D106" s="9"/>
      <c r="E106" s="9"/>
      <c r="F106" s="9"/>
      <c r="G106" s="35"/>
      <c r="H106" s="9"/>
    </row>
    <row r="107" customFormat="false" ht="15" hidden="false" customHeight="false" outlineLevel="0" collapsed="false">
      <c r="A107" s="34"/>
      <c r="B107" s="9"/>
      <c r="C107" s="9"/>
      <c r="D107" s="9"/>
      <c r="E107" s="9"/>
      <c r="F107" s="9"/>
      <c r="G107" s="35"/>
      <c r="H107" s="9"/>
    </row>
    <row r="108" customFormat="false" ht="15" hidden="false" customHeight="false" outlineLevel="0" collapsed="false">
      <c r="A108" s="34"/>
      <c r="B108" s="9"/>
      <c r="C108" s="9"/>
      <c r="D108" s="9"/>
      <c r="E108" s="9"/>
      <c r="F108" s="9"/>
      <c r="G108" s="35"/>
      <c r="H108" s="9"/>
    </row>
    <row r="109" customFormat="false" ht="15" hidden="false" customHeight="false" outlineLevel="0" collapsed="false">
      <c r="A109" s="34"/>
      <c r="B109" s="9"/>
      <c r="C109" s="9"/>
      <c r="D109" s="9"/>
      <c r="E109" s="9"/>
      <c r="F109" s="9"/>
      <c r="G109" s="35"/>
      <c r="H109" s="9"/>
    </row>
    <row r="110" customFormat="false" ht="15" hidden="false" customHeight="false" outlineLevel="0" collapsed="false">
      <c r="A110" s="34"/>
      <c r="B110" s="9"/>
      <c r="C110" s="9"/>
      <c r="D110" s="9"/>
      <c r="E110" s="9"/>
      <c r="F110" s="9"/>
      <c r="G110" s="35"/>
      <c r="H110" s="9"/>
    </row>
    <row r="111" customFormat="false" ht="15" hidden="false" customHeight="false" outlineLevel="0" collapsed="false">
      <c r="A111" s="34"/>
      <c r="B111" s="9"/>
      <c r="C111" s="9"/>
      <c r="D111" s="9"/>
      <c r="E111" s="9"/>
      <c r="F111" s="9"/>
      <c r="G111" s="35"/>
      <c r="H111" s="9"/>
    </row>
    <row r="112" customFormat="false" ht="15" hidden="false" customHeight="false" outlineLevel="0" collapsed="false">
      <c r="A112" s="34"/>
      <c r="B112" s="9"/>
      <c r="C112" s="9"/>
      <c r="D112" s="9"/>
      <c r="E112" s="9"/>
      <c r="F112" s="9"/>
      <c r="G112" s="35"/>
      <c r="H112" s="9"/>
    </row>
    <row r="113" customFormat="false" ht="15" hidden="false" customHeight="false" outlineLevel="0" collapsed="false">
      <c r="A113" s="34"/>
      <c r="B113" s="9"/>
      <c r="C113" s="9"/>
      <c r="D113" s="9"/>
      <c r="E113" s="9"/>
      <c r="F113" s="9"/>
      <c r="G113" s="35"/>
      <c r="H113" s="9"/>
    </row>
    <row r="114" customFormat="false" ht="15" hidden="false" customHeight="false" outlineLevel="0" collapsed="false">
      <c r="A114" s="34"/>
      <c r="B114" s="9"/>
      <c r="C114" s="9"/>
      <c r="D114" s="9"/>
      <c r="E114" s="9"/>
      <c r="F114" s="9"/>
      <c r="G114" s="35"/>
      <c r="H114" s="9"/>
    </row>
    <row r="115" customFormat="false" ht="15" hidden="false" customHeight="false" outlineLevel="0" collapsed="false">
      <c r="A115" s="34"/>
      <c r="B115" s="9"/>
      <c r="C115" s="9"/>
      <c r="D115" s="9"/>
      <c r="E115" s="9"/>
      <c r="F115" s="9"/>
      <c r="G115" s="35"/>
      <c r="H115" s="9"/>
    </row>
    <row r="116" customFormat="false" ht="15" hidden="false" customHeight="false" outlineLevel="0" collapsed="false">
      <c r="A116" s="34"/>
      <c r="B116" s="9"/>
      <c r="C116" s="9"/>
      <c r="D116" s="9"/>
      <c r="E116" s="9"/>
      <c r="F116" s="9"/>
      <c r="G116" s="35"/>
      <c r="H116" s="9"/>
    </row>
    <row r="117" customFormat="false" ht="15" hidden="false" customHeight="false" outlineLevel="0" collapsed="false">
      <c r="A117" s="34"/>
      <c r="B117" s="9"/>
      <c r="C117" s="9"/>
      <c r="D117" s="9"/>
      <c r="E117" s="9"/>
      <c r="F117" s="9"/>
      <c r="G117" s="35"/>
      <c r="H117" s="9"/>
    </row>
    <row r="118" customFormat="false" ht="15" hidden="false" customHeight="false" outlineLevel="0" collapsed="false">
      <c r="A118" s="34"/>
      <c r="B118" s="9"/>
      <c r="C118" s="9"/>
      <c r="D118" s="9"/>
      <c r="E118" s="9"/>
      <c r="F118" s="9"/>
      <c r="G118" s="35"/>
      <c r="H118" s="9"/>
    </row>
    <row r="119" customFormat="false" ht="15" hidden="false" customHeight="false" outlineLevel="0" collapsed="false">
      <c r="A119" s="34"/>
      <c r="B119" s="9"/>
      <c r="C119" s="9"/>
      <c r="D119" s="9"/>
      <c r="E119" s="9"/>
      <c r="F119" s="9"/>
      <c r="G119" s="35"/>
      <c r="H119" s="9"/>
    </row>
    <row r="120" customFormat="false" ht="15" hidden="false" customHeight="false" outlineLevel="0" collapsed="false">
      <c r="A120" s="34"/>
      <c r="B120" s="9"/>
      <c r="C120" s="9"/>
      <c r="D120" s="9"/>
      <c r="E120" s="9"/>
      <c r="F120" s="9"/>
      <c r="G120" s="35"/>
      <c r="H120" s="9"/>
    </row>
    <row r="121" customFormat="false" ht="15" hidden="false" customHeight="false" outlineLevel="0" collapsed="false">
      <c r="A121" s="34"/>
      <c r="B121" s="9"/>
      <c r="C121" s="9"/>
      <c r="D121" s="9"/>
      <c r="E121" s="9"/>
      <c r="F121" s="9"/>
      <c r="G121" s="35"/>
      <c r="H121" s="9"/>
    </row>
    <row r="122" customFormat="false" ht="15" hidden="false" customHeight="false" outlineLevel="0" collapsed="false">
      <c r="A122" s="34"/>
      <c r="B122" s="9"/>
      <c r="C122" s="9"/>
      <c r="D122" s="9"/>
      <c r="E122" s="9"/>
      <c r="F122" s="9"/>
      <c r="G122" s="35"/>
      <c r="H122" s="9"/>
    </row>
    <row r="123" customFormat="false" ht="15" hidden="false" customHeight="false" outlineLevel="0" collapsed="false">
      <c r="A123" s="34"/>
      <c r="B123" s="9"/>
      <c r="C123" s="9"/>
      <c r="D123" s="9"/>
      <c r="E123" s="9"/>
      <c r="F123" s="9"/>
      <c r="G123" s="35"/>
      <c r="H123" s="9"/>
    </row>
    <row r="124" customFormat="false" ht="15" hidden="false" customHeight="false" outlineLevel="0" collapsed="false">
      <c r="A124" s="34"/>
      <c r="B124" s="9"/>
      <c r="C124" s="9"/>
      <c r="D124" s="9"/>
      <c r="E124" s="9"/>
      <c r="F124" s="9"/>
      <c r="G124" s="35"/>
      <c r="H124" s="9"/>
    </row>
    <row r="125" customFormat="false" ht="15" hidden="false" customHeight="false" outlineLevel="0" collapsed="false">
      <c r="A125" s="34"/>
      <c r="B125" s="9"/>
      <c r="C125" s="9"/>
      <c r="D125" s="9"/>
      <c r="E125" s="9"/>
      <c r="F125" s="9"/>
      <c r="G125" s="35"/>
      <c r="H125" s="9"/>
    </row>
    <row r="126" customFormat="false" ht="15" hidden="false" customHeight="false" outlineLevel="0" collapsed="false">
      <c r="A126" s="34"/>
      <c r="B126" s="9"/>
      <c r="C126" s="9"/>
      <c r="D126" s="9"/>
      <c r="E126" s="9"/>
      <c r="F126" s="9"/>
      <c r="G126" s="35"/>
      <c r="H126" s="9"/>
    </row>
    <row r="127" customFormat="false" ht="15" hidden="false" customHeight="false" outlineLevel="0" collapsed="false">
      <c r="A127" s="34"/>
      <c r="B127" s="9"/>
      <c r="C127" s="9"/>
      <c r="D127" s="9"/>
      <c r="E127" s="9"/>
      <c r="F127" s="9"/>
      <c r="G127" s="35"/>
      <c r="H127" s="9"/>
    </row>
    <row r="128" customFormat="false" ht="15" hidden="false" customHeight="false" outlineLevel="0" collapsed="false">
      <c r="A128" s="34"/>
      <c r="B128" s="9"/>
      <c r="C128" s="9"/>
      <c r="D128" s="9"/>
      <c r="E128" s="9"/>
      <c r="F128" s="9"/>
      <c r="G128" s="35"/>
      <c r="H128" s="9"/>
    </row>
    <row r="129" customFormat="false" ht="15" hidden="false" customHeight="false" outlineLevel="0" collapsed="false">
      <c r="A129" s="34"/>
      <c r="B129" s="9"/>
      <c r="C129" s="9"/>
      <c r="D129" s="9"/>
      <c r="E129" s="9"/>
      <c r="F129" s="9"/>
      <c r="G129" s="35"/>
      <c r="H129" s="9"/>
    </row>
    <row r="130" customFormat="false" ht="15" hidden="false" customHeight="false" outlineLevel="0" collapsed="false">
      <c r="A130" s="34"/>
      <c r="B130" s="9"/>
      <c r="C130" s="9"/>
      <c r="D130" s="9"/>
      <c r="E130" s="9"/>
      <c r="F130" s="9"/>
      <c r="G130" s="35"/>
      <c r="H130" s="9"/>
    </row>
    <row r="131" customFormat="false" ht="15" hidden="false" customHeight="false" outlineLevel="0" collapsed="false">
      <c r="A131" s="34"/>
      <c r="B131" s="9"/>
      <c r="C131" s="9"/>
      <c r="D131" s="9"/>
      <c r="E131" s="9"/>
      <c r="F131" s="9"/>
      <c r="G131" s="35"/>
      <c r="H131" s="9"/>
    </row>
    <row r="132" customFormat="false" ht="15" hidden="false" customHeight="false" outlineLevel="0" collapsed="false">
      <c r="A132" s="34"/>
      <c r="B132" s="9"/>
      <c r="C132" s="9"/>
      <c r="D132" s="9"/>
      <c r="E132" s="9"/>
      <c r="F132" s="9"/>
      <c r="G132" s="35"/>
      <c r="H132" s="9"/>
    </row>
    <row r="133" customFormat="false" ht="15" hidden="false" customHeight="false" outlineLevel="0" collapsed="false">
      <c r="A133" s="34"/>
      <c r="B133" s="9"/>
      <c r="C133" s="9"/>
      <c r="D133" s="9"/>
      <c r="E133" s="9"/>
      <c r="F133" s="9"/>
      <c r="G133" s="35"/>
      <c r="H133" s="9"/>
    </row>
    <row r="134" customFormat="false" ht="15" hidden="false" customHeight="false" outlineLevel="0" collapsed="false">
      <c r="A134" s="34"/>
      <c r="B134" s="9"/>
      <c r="C134" s="9"/>
      <c r="D134" s="9"/>
      <c r="E134" s="9"/>
      <c r="F134" s="9"/>
      <c r="G134" s="35"/>
      <c r="H134" s="9"/>
    </row>
    <row r="135" customFormat="false" ht="15" hidden="false" customHeight="false" outlineLevel="0" collapsed="false">
      <c r="A135" s="34"/>
      <c r="B135" s="9"/>
      <c r="C135" s="9"/>
      <c r="D135" s="9"/>
      <c r="E135" s="9"/>
      <c r="F135" s="9"/>
      <c r="G135" s="35"/>
      <c r="H135" s="9"/>
    </row>
    <row r="136" customFormat="false" ht="15" hidden="false" customHeight="false" outlineLevel="0" collapsed="false">
      <c r="A136" s="34"/>
      <c r="B136" s="9"/>
      <c r="C136" s="9"/>
      <c r="D136" s="9"/>
      <c r="E136" s="9"/>
      <c r="F136" s="9"/>
      <c r="G136" s="35"/>
      <c r="H136" s="9"/>
    </row>
    <row r="137" customFormat="false" ht="15" hidden="false" customHeight="false" outlineLevel="0" collapsed="false">
      <c r="A137" s="34"/>
      <c r="B137" s="9"/>
      <c r="C137" s="9"/>
      <c r="D137" s="9"/>
      <c r="E137" s="9"/>
      <c r="F137" s="9"/>
      <c r="G137" s="35"/>
      <c r="H137" s="9"/>
    </row>
    <row r="138" customFormat="false" ht="15" hidden="false" customHeight="false" outlineLevel="0" collapsed="false">
      <c r="A138" s="34"/>
      <c r="B138" s="9"/>
      <c r="C138" s="9"/>
      <c r="D138" s="9"/>
      <c r="E138" s="9"/>
      <c r="F138" s="9"/>
      <c r="G138" s="35"/>
      <c r="H138" s="9"/>
    </row>
    <row r="139" customFormat="false" ht="15" hidden="false" customHeight="false" outlineLevel="0" collapsed="false">
      <c r="A139" s="34"/>
      <c r="B139" s="9"/>
      <c r="C139" s="9"/>
      <c r="D139" s="9"/>
      <c r="E139" s="9"/>
      <c r="F139" s="9"/>
      <c r="G139" s="35"/>
      <c r="H139" s="9"/>
    </row>
    <row r="140" customFormat="false" ht="15" hidden="false" customHeight="false" outlineLevel="0" collapsed="false">
      <c r="A140" s="34"/>
      <c r="B140" s="9"/>
      <c r="C140" s="9"/>
      <c r="D140" s="9"/>
      <c r="E140" s="9"/>
      <c r="F140" s="9"/>
      <c r="G140" s="35"/>
      <c r="H140" s="9"/>
    </row>
    <row r="141" customFormat="false" ht="15" hidden="false" customHeight="false" outlineLevel="0" collapsed="false">
      <c r="A141" s="34"/>
      <c r="B141" s="9"/>
      <c r="C141" s="9"/>
      <c r="D141" s="9"/>
      <c r="E141" s="9"/>
      <c r="F141" s="9"/>
      <c r="G141" s="35"/>
      <c r="H141" s="9"/>
    </row>
    <row r="142" customFormat="false" ht="15" hidden="false" customHeight="false" outlineLevel="0" collapsed="false">
      <c r="A142" s="34"/>
      <c r="B142" s="9"/>
      <c r="C142" s="9"/>
      <c r="D142" s="9"/>
      <c r="E142" s="9"/>
      <c r="F142" s="9"/>
      <c r="G142" s="35"/>
      <c r="H142" s="9"/>
    </row>
    <row r="143" customFormat="false" ht="15" hidden="false" customHeight="false" outlineLevel="0" collapsed="false">
      <c r="A143" s="34"/>
      <c r="B143" s="9"/>
      <c r="C143" s="9"/>
      <c r="D143" s="9"/>
      <c r="E143" s="9"/>
      <c r="F143" s="9"/>
      <c r="G143" s="35"/>
      <c r="H143" s="9"/>
    </row>
    <row r="144" customFormat="false" ht="15" hidden="false" customHeight="false" outlineLevel="0" collapsed="false">
      <c r="A144" s="34"/>
      <c r="B144" s="9"/>
      <c r="C144" s="9"/>
      <c r="D144" s="9"/>
      <c r="E144" s="9"/>
      <c r="F144" s="9"/>
      <c r="G144" s="35"/>
      <c r="H144" s="9"/>
    </row>
    <row r="145" customFormat="false" ht="15" hidden="false" customHeight="false" outlineLevel="0" collapsed="false">
      <c r="A145" s="34"/>
      <c r="B145" s="9"/>
      <c r="C145" s="9"/>
      <c r="D145" s="9"/>
      <c r="E145" s="9"/>
      <c r="F145" s="9"/>
      <c r="G145" s="35"/>
      <c r="H145" s="9"/>
    </row>
    <row r="146" customFormat="false" ht="15" hidden="false" customHeight="false" outlineLevel="0" collapsed="false">
      <c r="A146" s="34"/>
      <c r="B146" s="9"/>
      <c r="C146" s="9"/>
      <c r="D146" s="9"/>
      <c r="E146" s="9"/>
      <c r="F146" s="9"/>
      <c r="G146" s="35"/>
      <c r="H146" s="9"/>
    </row>
    <row r="147" customFormat="false" ht="15" hidden="false" customHeight="false" outlineLevel="0" collapsed="false">
      <c r="A147" s="34"/>
      <c r="B147" s="9"/>
      <c r="C147" s="9"/>
      <c r="D147" s="9"/>
      <c r="E147" s="9"/>
      <c r="F147" s="9"/>
      <c r="G147" s="35"/>
      <c r="H147" s="9"/>
    </row>
    <row r="148" customFormat="false" ht="15" hidden="false" customHeight="false" outlineLevel="0" collapsed="false">
      <c r="A148" s="34"/>
      <c r="B148" s="9"/>
      <c r="C148" s="9"/>
      <c r="D148" s="9"/>
      <c r="E148" s="9"/>
      <c r="F148" s="9"/>
      <c r="G148" s="35"/>
      <c r="H148" s="9"/>
    </row>
    <row r="149" customFormat="false" ht="15" hidden="false" customHeight="false" outlineLevel="0" collapsed="false">
      <c r="A149" s="34"/>
      <c r="B149" s="9"/>
      <c r="C149" s="9"/>
      <c r="D149" s="9"/>
      <c r="E149" s="9"/>
      <c r="F149" s="9"/>
      <c r="G149" s="35"/>
      <c r="H149" s="9"/>
    </row>
    <row r="150" customFormat="false" ht="15" hidden="false" customHeight="false" outlineLevel="0" collapsed="false">
      <c r="A150" s="34"/>
      <c r="B150" s="9"/>
      <c r="C150" s="9"/>
      <c r="D150" s="9"/>
      <c r="E150" s="9"/>
      <c r="F150" s="9"/>
      <c r="G150" s="35"/>
      <c r="H150" s="9"/>
    </row>
    <row r="151" customFormat="false" ht="15" hidden="false" customHeight="false" outlineLevel="0" collapsed="false">
      <c r="A151" s="34"/>
      <c r="B151" s="9"/>
      <c r="C151" s="9"/>
      <c r="D151" s="9"/>
      <c r="E151" s="9"/>
      <c r="F151" s="9"/>
      <c r="G151" s="35"/>
      <c r="H151" s="9"/>
    </row>
    <row r="152" customFormat="false" ht="15" hidden="false" customHeight="false" outlineLevel="0" collapsed="false">
      <c r="A152" s="34"/>
      <c r="B152" s="9"/>
      <c r="C152" s="9"/>
      <c r="D152" s="9"/>
      <c r="E152" s="9"/>
      <c r="F152" s="9"/>
      <c r="G152" s="35"/>
      <c r="H152" s="9"/>
    </row>
    <row r="153" customFormat="false" ht="15" hidden="false" customHeight="false" outlineLevel="0" collapsed="false">
      <c r="A153" s="34"/>
      <c r="B153" s="9"/>
      <c r="C153" s="9"/>
      <c r="D153" s="9"/>
      <c r="E153" s="9"/>
      <c r="F153" s="9"/>
      <c r="G153" s="35"/>
      <c r="H153" s="9"/>
    </row>
    <row r="154" customFormat="false" ht="15" hidden="false" customHeight="false" outlineLevel="0" collapsed="false">
      <c r="A154" s="34"/>
      <c r="B154" s="9"/>
      <c r="C154" s="9"/>
      <c r="D154" s="9"/>
      <c r="E154" s="9"/>
      <c r="F154" s="9"/>
      <c r="G154" s="35"/>
      <c r="H154" s="9"/>
    </row>
    <row r="155" customFormat="false" ht="15" hidden="false" customHeight="false" outlineLevel="0" collapsed="false">
      <c r="A155" s="34"/>
      <c r="B155" s="9"/>
      <c r="C155" s="9"/>
      <c r="D155" s="9"/>
      <c r="E155" s="9"/>
      <c r="F155" s="9"/>
      <c r="G155" s="35"/>
      <c r="H155" s="9"/>
    </row>
    <row r="156" customFormat="false" ht="15" hidden="false" customHeight="false" outlineLevel="0" collapsed="false">
      <c r="A156" s="34"/>
      <c r="B156" s="9"/>
      <c r="C156" s="9"/>
      <c r="D156" s="9"/>
      <c r="E156" s="9"/>
      <c r="F156" s="9"/>
      <c r="G156" s="35"/>
      <c r="H156" s="9"/>
    </row>
    <row r="157" customFormat="false" ht="15" hidden="false" customHeight="false" outlineLevel="0" collapsed="false">
      <c r="A157" s="34"/>
      <c r="B157" s="9"/>
      <c r="C157" s="9"/>
      <c r="D157" s="9"/>
      <c r="E157" s="9"/>
      <c r="F157" s="9"/>
      <c r="G157" s="35"/>
      <c r="H157" s="9"/>
    </row>
    <row r="158" customFormat="false" ht="15" hidden="false" customHeight="false" outlineLevel="0" collapsed="false">
      <c r="A158" s="34"/>
      <c r="B158" s="9"/>
      <c r="C158" s="9"/>
      <c r="D158" s="9"/>
      <c r="E158" s="9"/>
      <c r="F158" s="9"/>
      <c r="G158" s="35"/>
      <c r="H158" s="9"/>
    </row>
    <row r="159" customFormat="false" ht="15" hidden="false" customHeight="false" outlineLevel="0" collapsed="false">
      <c r="A159" s="34"/>
      <c r="B159" s="9"/>
      <c r="C159" s="9"/>
      <c r="D159" s="9"/>
      <c r="E159" s="9"/>
      <c r="F159" s="9"/>
      <c r="G159" s="35"/>
      <c r="H159" s="9"/>
    </row>
    <row r="160" customFormat="false" ht="15" hidden="false" customHeight="false" outlineLevel="0" collapsed="false">
      <c r="A160" s="34"/>
      <c r="B160" s="9"/>
      <c r="C160" s="9"/>
      <c r="D160" s="9"/>
      <c r="E160" s="9"/>
      <c r="F160" s="9"/>
      <c r="G160" s="35"/>
      <c r="H160" s="9"/>
    </row>
    <row r="161" customFormat="false" ht="15" hidden="false" customHeight="false" outlineLevel="0" collapsed="false">
      <c r="A161" s="34"/>
      <c r="B161" s="9"/>
      <c r="C161" s="9"/>
      <c r="D161" s="9"/>
      <c r="E161" s="9"/>
      <c r="F161" s="9"/>
      <c r="G161" s="35"/>
      <c r="H161" s="9"/>
    </row>
    <row r="162" customFormat="false" ht="15" hidden="false" customHeight="false" outlineLevel="0" collapsed="false">
      <c r="A162" s="34"/>
      <c r="B162" s="9"/>
      <c r="C162" s="9"/>
      <c r="D162" s="9"/>
      <c r="E162" s="9"/>
      <c r="F162" s="9"/>
      <c r="G162" s="35"/>
      <c r="H162" s="9"/>
    </row>
    <row r="163" customFormat="false" ht="15" hidden="false" customHeight="false" outlineLevel="0" collapsed="false">
      <c r="A163" s="34"/>
      <c r="B163" s="9"/>
      <c r="C163" s="9"/>
      <c r="D163" s="9"/>
      <c r="E163" s="9"/>
      <c r="F163" s="9"/>
      <c r="G163" s="35"/>
      <c r="H163" s="9"/>
    </row>
    <row r="164" customFormat="false" ht="15" hidden="false" customHeight="false" outlineLevel="0" collapsed="false">
      <c r="A164" s="34"/>
      <c r="B164" s="9"/>
      <c r="C164" s="9"/>
      <c r="D164" s="9"/>
      <c r="E164" s="9"/>
      <c r="F164" s="9"/>
      <c r="G164" s="35"/>
      <c r="H164" s="9"/>
    </row>
    <row r="165" customFormat="false" ht="15" hidden="false" customHeight="false" outlineLevel="0" collapsed="false">
      <c r="A165" s="34"/>
      <c r="B165" s="9"/>
      <c r="C165" s="9"/>
      <c r="D165" s="9"/>
      <c r="E165" s="9"/>
      <c r="F165" s="9"/>
      <c r="G165" s="35"/>
      <c r="H165" s="9"/>
    </row>
    <row r="166" customFormat="false" ht="15" hidden="false" customHeight="false" outlineLevel="0" collapsed="false">
      <c r="A166" s="34"/>
      <c r="B166" s="9"/>
      <c r="C166" s="9"/>
      <c r="D166" s="9"/>
      <c r="E166" s="9"/>
      <c r="F166" s="9"/>
      <c r="G166" s="35"/>
      <c r="H166" s="9"/>
    </row>
    <row r="167" customFormat="false" ht="15" hidden="false" customHeight="false" outlineLevel="0" collapsed="false">
      <c r="A167" s="34"/>
      <c r="B167" s="9"/>
      <c r="C167" s="9"/>
      <c r="D167" s="9"/>
      <c r="E167" s="9"/>
      <c r="F167" s="9"/>
      <c r="G167" s="35"/>
      <c r="H167" s="9"/>
    </row>
    <row r="168" customFormat="false" ht="15" hidden="false" customHeight="false" outlineLevel="0" collapsed="false">
      <c r="A168" s="34"/>
      <c r="B168" s="9"/>
      <c r="C168" s="9"/>
      <c r="D168" s="9"/>
      <c r="E168" s="9"/>
      <c r="F168" s="9"/>
      <c r="G168" s="35"/>
      <c r="H168" s="9"/>
    </row>
    <row r="169" customFormat="false" ht="15" hidden="false" customHeight="false" outlineLevel="0" collapsed="false">
      <c r="A169" s="34"/>
      <c r="B169" s="9"/>
      <c r="C169" s="9"/>
      <c r="D169" s="9"/>
      <c r="E169" s="9"/>
      <c r="F169" s="9"/>
      <c r="G169" s="35"/>
      <c r="H169" s="9"/>
    </row>
    <row r="170" customFormat="false" ht="15" hidden="false" customHeight="false" outlineLevel="0" collapsed="false">
      <c r="A170" s="34"/>
      <c r="B170" s="9"/>
      <c r="C170" s="9"/>
      <c r="D170" s="9"/>
      <c r="E170" s="9"/>
      <c r="F170" s="9"/>
      <c r="G170" s="35"/>
      <c r="H170" s="9"/>
    </row>
    <row r="171" customFormat="false" ht="15" hidden="false" customHeight="false" outlineLevel="0" collapsed="false">
      <c r="A171" s="34"/>
      <c r="B171" s="9"/>
      <c r="C171" s="9"/>
      <c r="D171" s="9"/>
      <c r="E171" s="9"/>
      <c r="F171" s="9"/>
      <c r="G171" s="35"/>
      <c r="H171" s="9"/>
    </row>
    <row r="172" customFormat="false" ht="15" hidden="false" customHeight="false" outlineLevel="0" collapsed="false">
      <c r="A172" s="34"/>
      <c r="B172" s="9"/>
      <c r="C172" s="9"/>
      <c r="D172" s="9"/>
      <c r="E172" s="9"/>
      <c r="F172" s="9"/>
      <c r="G172" s="35"/>
      <c r="H172" s="9"/>
    </row>
    <row r="173" customFormat="false" ht="15" hidden="false" customHeight="false" outlineLevel="0" collapsed="false">
      <c r="A173" s="34"/>
      <c r="B173" s="9"/>
      <c r="C173" s="9"/>
      <c r="D173" s="9"/>
      <c r="E173" s="9"/>
      <c r="F173" s="9"/>
      <c r="G173" s="35"/>
      <c r="H173" s="9"/>
    </row>
    <row r="174" customFormat="false" ht="15" hidden="false" customHeight="false" outlineLevel="0" collapsed="false">
      <c r="A174" s="34"/>
      <c r="B174" s="9"/>
      <c r="C174" s="9"/>
      <c r="D174" s="9"/>
      <c r="E174" s="9"/>
      <c r="F174" s="9"/>
      <c r="G174" s="35"/>
      <c r="H174" s="9"/>
    </row>
    <row r="175" customFormat="false" ht="15" hidden="false" customHeight="false" outlineLevel="0" collapsed="false">
      <c r="A175" s="34"/>
      <c r="B175" s="9"/>
      <c r="C175" s="9"/>
      <c r="D175" s="9"/>
      <c r="E175" s="9"/>
      <c r="F175" s="9"/>
      <c r="G175" s="35"/>
      <c r="H175" s="9"/>
    </row>
    <row r="176" customFormat="false" ht="15" hidden="false" customHeight="false" outlineLevel="0" collapsed="false">
      <c r="A176" s="34"/>
      <c r="B176" s="9"/>
      <c r="C176" s="9"/>
      <c r="D176" s="9"/>
      <c r="E176" s="9"/>
      <c r="F176" s="9"/>
      <c r="G176" s="35"/>
      <c r="H176" s="9"/>
    </row>
    <row r="177" customFormat="false" ht="15" hidden="false" customHeight="false" outlineLevel="0" collapsed="false">
      <c r="A177" s="34"/>
      <c r="B177" s="9"/>
      <c r="C177" s="9"/>
      <c r="D177" s="9"/>
      <c r="E177" s="9"/>
      <c r="F177" s="9"/>
      <c r="G177" s="35"/>
      <c r="H177" s="9"/>
    </row>
    <row r="178" customFormat="false" ht="15" hidden="false" customHeight="false" outlineLevel="0" collapsed="false">
      <c r="A178" s="34"/>
      <c r="B178" s="9"/>
      <c r="C178" s="9"/>
      <c r="D178" s="9"/>
      <c r="E178" s="9"/>
      <c r="F178" s="9"/>
      <c r="G178" s="35"/>
      <c r="H178" s="9"/>
    </row>
    <row r="179" customFormat="false" ht="15" hidden="false" customHeight="false" outlineLevel="0" collapsed="false">
      <c r="A179" s="34"/>
      <c r="B179" s="9"/>
      <c r="C179" s="9"/>
      <c r="D179" s="9"/>
      <c r="E179" s="9"/>
      <c r="F179" s="9"/>
      <c r="G179" s="35"/>
      <c r="H179" s="9"/>
    </row>
    <row r="180" customFormat="false" ht="15" hidden="false" customHeight="false" outlineLevel="0" collapsed="false">
      <c r="A180" s="34"/>
      <c r="B180" s="9"/>
      <c r="C180" s="9"/>
      <c r="D180" s="9"/>
      <c r="E180" s="9"/>
      <c r="F180" s="9"/>
      <c r="G180" s="35"/>
      <c r="H180" s="9"/>
    </row>
    <row r="181" customFormat="false" ht="15" hidden="false" customHeight="false" outlineLevel="0" collapsed="false">
      <c r="A181" s="34"/>
      <c r="B181" s="9"/>
      <c r="C181" s="9"/>
      <c r="D181" s="9"/>
      <c r="E181" s="9"/>
      <c r="F181" s="9"/>
      <c r="G181" s="35"/>
      <c r="H181" s="9"/>
    </row>
    <row r="182" customFormat="false" ht="15" hidden="false" customHeight="false" outlineLevel="0" collapsed="false">
      <c r="A182" s="34"/>
      <c r="B182" s="9"/>
      <c r="C182" s="9"/>
      <c r="D182" s="9"/>
      <c r="E182" s="9"/>
      <c r="F182" s="9"/>
      <c r="G182" s="35"/>
      <c r="H182" s="9"/>
    </row>
    <row r="183" customFormat="false" ht="15" hidden="false" customHeight="false" outlineLevel="0" collapsed="false">
      <c r="A183" s="34"/>
      <c r="B183" s="9"/>
      <c r="C183" s="9"/>
      <c r="D183" s="9"/>
      <c r="E183" s="9"/>
      <c r="F183" s="9"/>
      <c r="G183" s="35"/>
      <c r="H183" s="9"/>
    </row>
    <row r="184" customFormat="false" ht="15" hidden="false" customHeight="false" outlineLevel="0" collapsed="false">
      <c r="A184" s="34"/>
      <c r="B184" s="9"/>
      <c r="C184" s="9"/>
      <c r="D184" s="9"/>
      <c r="E184" s="9"/>
      <c r="F184" s="9"/>
      <c r="G184" s="35"/>
      <c r="H184" s="9"/>
    </row>
    <row r="185" customFormat="false" ht="15" hidden="false" customHeight="false" outlineLevel="0" collapsed="false">
      <c r="A185" s="34"/>
      <c r="B185" s="9"/>
      <c r="C185" s="9"/>
      <c r="D185" s="9"/>
      <c r="E185" s="9"/>
      <c r="F185" s="9"/>
      <c r="G185" s="35"/>
      <c r="H185" s="9"/>
    </row>
    <row r="186" customFormat="false" ht="15" hidden="false" customHeight="false" outlineLevel="0" collapsed="false">
      <c r="A186" s="34"/>
      <c r="B186" s="9"/>
      <c r="C186" s="9"/>
      <c r="D186" s="9"/>
      <c r="E186" s="9"/>
      <c r="F186" s="9"/>
      <c r="G186" s="35"/>
      <c r="H186" s="9"/>
    </row>
    <row r="187" customFormat="false" ht="15" hidden="false" customHeight="false" outlineLevel="0" collapsed="false">
      <c r="A187" s="34"/>
      <c r="B187" s="9"/>
      <c r="C187" s="9"/>
      <c r="D187" s="9"/>
      <c r="E187" s="9"/>
      <c r="F187" s="9"/>
      <c r="G187" s="35"/>
      <c r="H187" s="9"/>
    </row>
    <row r="188" customFormat="false" ht="15" hidden="false" customHeight="false" outlineLevel="0" collapsed="false">
      <c r="A188" s="34"/>
      <c r="B188" s="9"/>
      <c r="C188" s="9"/>
      <c r="D188" s="9"/>
      <c r="E188" s="9"/>
      <c r="F188" s="9"/>
      <c r="G188" s="35"/>
      <c r="H188" s="9"/>
    </row>
    <row r="189" customFormat="false" ht="15" hidden="false" customHeight="false" outlineLevel="0" collapsed="false">
      <c r="A189" s="34"/>
      <c r="B189" s="9"/>
      <c r="C189" s="9"/>
      <c r="D189" s="9"/>
      <c r="E189" s="9"/>
      <c r="F189" s="9"/>
      <c r="G189" s="35"/>
      <c r="H189" s="9"/>
    </row>
    <row r="190" customFormat="false" ht="15" hidden="false" customHeight="false" outlineLevel="0" collapsed="false">
      <c r="A190" s="34"/>
      <c r="B190" s="9"/>
      <c r="C190" s="9"/>
      <c r="D190" s="9"/>
      <c r="E190" s="9"/>
      <c r="F190" s="9"/>
      <c r="G190" s="35"/>
      <c r="H190" s="9"/>
    </row>
    <row r="191" customFormat="false" ht="15" hidden="false" customHeight="false" outlineLevel="0" collapsed="false">
      <c r="A191" s="34"/>
      <c r="B191" s="9"/>
      <c r="C191" s="9"/>
      <c r="D191" s="9"/>
      <c r="E191" s="9"/>
      <c r="F191" s="9"/>
      <c r="G191" s="35"/>
      <c r="H191" s="9"/>
    </row>
    <row r="192" customFormat="false" ht="15" hidden="false" customHeight="false" outlineLevel="0" collapsed="false">
      <c r="A192" s="34"/>
      <c r="B192" s="9"/>
      <c r="C192" s="9"/>
      <c r="D192" s="9"/>
      <c r="E192" s="9"/>
      <c r="F192" s="9"/>
      <c r="G192" s="35"/>
      <c r="H192" s="9"/>
    </row>
    <row r="193" customFormat="false" ht="15" hidden="false" customHeight="false" outlineLevel="0" collapsed="false">
      <c r="A193" s="34"/>
      <c r="B193" s="9"/>
      <c r="C193" s="9"/>
      <c r="D193" s="9"/>
      <c r="E193" s="9"/>
      <c r="F193" s="9"/>
      <c r="G193" s="35"/>
      <c r="H193" s="9"/>
    </row>
    <row r="194" customFormat="false" ht="15" hidden="false" customHeight="false" outlineLevel="0" collapsed="false">
      <c r="A194" s="34"/>
      <c r="B194" s="9"/>
      <c r="C194" s="9"/>
      <c r="D194" s="9"/>
      <c r="E194" s="9"/>
      <c r="F194" s="9"/>
      <c r="G194" s="35"/>
      <c r="H194" s="9"/>
    </row>
    <row r="195" customFormat="false" ht="15" hidden="false" customHeight="false" outlineLevel="0" collapsed="false">
      <c r="A195" s="34"/>
      <c r="B195" s="9"/>
      <c r="C195" s="9"/>
      <c r="D195" s="9"/>
      <c r="E195" s="9"/>
      <c r="F195" s="9"/>
      <c r="G195" s="35"/>
      <c r="H195" s="9"/>
    </row>
    <row r="196" customFormat="false" ht="15" hidden="false" customHeight="false" outlineLevel="0" collapsed="false">
      <c r="A196" s="34"/>
      <c r="B196" s="9"/>
      <c r="C196" s="9"/>
      <c r="D196" s="9"/>
      <c r="E196" s="9"/>
      <c r="F196" s="9"/>
      <c r="G196" s="35"/>
      <c r="H196" s="9"/>
    </row>
    <row r="197" customFormat="false" ht="15" hidden="false" customHeight="false" outlineLevel="0" collapsed="false">
      <c r="A197" s="34"/>
      <c r="B197" s="9"/>
      <c r="C197" s="9"/>
      <c r="D197" s="9"/>
      <c r="E197" s="9"/>
      <c r="F197" s="9"/>
      <c r="G197" s="35"/>
      <c r="H197" s="9"/>
    </row>
    <row r="198" customFormat="false" ht="15" hidden="false" customHeight="false" outlineLevel="0" collapsed="false">
      <c r="A198" s="34"/>
      <c r="B198" s="9"/>
      <c r="C198" s="9"/>
      <c r="D198" s="9"/>
      <c r="E198" s="9"/>
      <c r="F198" s="9"/>
      <c r="G198" s="35"/>
      <c r="H198" s="9"/>
    </row>
    <row r="199" customFormat="false" ht="15" hidden="false" customHeight="false" outlineLevel="0" collapsed="false">
      <c r="A199" s="34"/>
      <c r="B199" s="9"/>
      <c r="C199" s="9"/>
      <c r="D199" s="9"/>
      <c r="E199" s="9"/>
      <c r="F199" s="9"/>
      <c r="G199" s="35"/>
      <c r="H199" s="9"/>
    </row>
    <row r="200" customFormat="false" ht="15" hidden="false" customHeight="false" outlineLevel="0" collapsed="false">
      <c r="A200" s="34"/>
      <c r="B200" s="9"/>
      <c r="C200" s="9"/>
      <c r="D200" s="9"/>
      <c r="E200" s="9"/>
      <c r="F200" s="9"/>
      <c r="G200" s="35"/>
      <c r="H200" s="9"/>
    </row>
    <row r="201" customFormat="false" ht="15" hidden="false" customHeight="false" outlineLevel="0" collapsed="false">
      <c r="A201" s="34"/>
      <c r="B201" s="9"/>
      <c r="C201" s="9"/>
      <c r="D201" s="9"/>
      <c r="E201" s="9"/>
      <c r="F201" s="9"/>
      <c r="G201" s="35"/>
      <c r="H201" s="9"/>
    </row>
    <row r="202" customFormat="false" ht="15" hidden="false" customHeight="false" outlineLevel="0" collapsed="false">
      <c r="A202" s="34"/>
      <c r="B202" s="9"/>
      <c r="C202" s="9"/>
      <c r="D202" s="9"/>
      <c r="E202" s="9"/>
      <c r="F202" s="9"/>
      <c r="G202" s="35"/>
      <c r="H202" s="9"/>
    </row>
    <row r="203" customFormat="false" ht="15" hidden="false" customHeight="false" outlineLevel="0" collapsed="false">
      <c r="A203" s="34"/>
      <c r="B203" s="9"/>
      <c r="C203" s="9"/>
      <c r="D203" s="9"/>
      <c r="E203" s="9"/>
      <c r="F203" s="9"/>
      <c r="G203" s="35"/>
      <c r="H203" s="9"/>
    </row>
    <row r="204" customFormat="false" ht="15" hidden="false" customHeight="false" outlineLevel="0" collapsed="false">
      <c r="A204" s="34"/>
      <c r="B204" s="9"/>
      <c r="C204" s="9"/>
      <c r="D204" s="9"/>
      <c r="E204" s="9"/>
      <c r="F204" s="9"/>
      <c r="G204" s="35"/>
      <c r="H204" s="9"/>
    </row>
    <row r="205" customFormat="false" ht="15" hidden="false" customHeight="false" outlineLevel="0" collapsed="false">
      <c r="A205" s="34"/>
      <c r="B205" s="9"/>
      <c r="C205" s="9"/>
      <c r="D205" s="9"/>
      <c r="E205" s="9"/>
      <c r="F205" s="9"/>
      <c r="G205" s="35"/>
      <c r="H205" s="9"/>
    </row>
    <row r="206" customFormat="false" ht="15" hidden="false" customHeight="false" outlineLevel="0" collapsed="false">
      <c r="A206" s="34"/>
      <c r="B206" s="9"/>
      <c r="C206" s="9"/>
      <c r="D206" s="9"/>
      <c r="E206" s="9"/>
      <c r="F206" s="9"/>
      <c r="G206" s="35"/>
      <c r="H206" s="9"/>
    </row>
    <row r="207" customFormat="false" ht="15" hidden="false" customHeight="false" outlineLevel="0" collapsed="false">
      <c r="A207" s="34"/>
      <c r="B207" s="9"/>
      <c r="C207" s="9"/>
      <c r="D207" s="9"/>
      <c r="E207" s="9"/>
      <c r="F207" s="9"/>
      <c r="G207" s="35"/>
      <c r="H207" s="9"/>
    </row>
    <row r="208" customFormat="false" ht="15" hidden="false" customHeight="false" outlineLevel="0" collapsed="false">
      <c r="A208" s="34"/>
      <c r="B208" s="9"/>
      <c r="C208" s="9"/>
      <c r="D208" s="9"/>
      <c r="E208" s="9"/>
      <c r="F208" s="9"/>
      <c r="G208" s="35"/>
      <c r="H208" s="9"/>
    </row>
    <row r="209" customFormat="false" ht="15" hidden="false" customHeight="false" outlineLevel="0" collapsed="false">
      <c r="A209" s="34"/>
      <c r="B209" s="9"/>
      <c r="C209" s="9"/>
      <c r="D209" s="9"/>
      <c r="E209" s="9"/>
      <c r="F209" s="9"/>
      <c r="G209" s="35"/>
      <c r="H209" s="9"/>
    </row>
    <row r="210" customFormat="false" ht="15" hidden="false" customHeight="false" outlineLevel="0" collapsed="false">
      <c r="A210" s="34"/>
      <c r="B210" s="9"/>
      <c r="C210" s="9"/>
      <c r="D210" s="9"/>
      <c r="E210" s="9"/>
      <c r="F210" s="9"/>
      <c r="G210" s="35"/>
      <c r="H210" s="9"/>
    </row>
    <row r="211" customFormat="false" ht="15" hidden="false" customHeight="false" outlineLevel="0" collapsed="false">
      <c r="A211" s="34"/>
      <c r="B211" s="9"/>
      <c r="C211" s="9"/>
      <c r="D211" s="9"/>
      <c r="E211" s="9"/>
      <c r="F211" s="9"/>
      <c r="G211" s="35"/>
      <c r="H211" s="9"/>
    </row>
    <row r="212" customFormat="false" ht="15" hidden="false" customHeight="false" outlineLevel="0" collapsed="false">
      <c r="A212" s="34"/>
      <c r="B212" s="9"/>
      <c r="C212" s="9"/>
      <c r="D212" s="9"/>
      <c r="E212" s="9"/>
      <c r="F212" s="9"/>
      <c r="G212" s="35"/>
      <c r="H212" s="9"/>
    </row>
    <row r="213" customFormat="false" ht="15" hidden="false" customHeight="false" outlineLevel="0" collapsed="false">
      <c r="A213" s="34"/>
      <c r="B213" s="9"/>
      <c r="C213" s="9"/>
      <c r="D213" s="9"/>
      <c r="E213" s="9"/>
      <c r="F213" s="9"/>
      <c r="G213" s="35"/>
      <c r="H213" s="9"/>
    </row>
    <row r="214" customFormat="false" ht="15" hidden="false" customHeight="false" outlineLevel="0" collapsed="false">
      <c r="A214" s="34"/>
      <c r="B214" s="9"/>
      <c r="C214" s="9"/>
      <c r="D214" s="9"/>
      <c r="E214" s="9"/>
      <c r="F214" s="9"/>
      <c r="G214" s="35"/>
      <c r="H214" s="9"/>
    </row>
    <row r="215" customFormat="false" ht="15" hidden="false" customHeight="false" outlineLevel="0" collapsed="false">
      <c r="A215" s="34"/>
      <c r="B215" s="9"/>
      <c r="C215" s="9"/>
      <c r="D215" s="9"/>
      <c r="E215" s="9"/>
      <c r="F215" s="9"/>
      <c r="G215" s="35"/>
      <c r="H215" s="9"/>
    </row>
    <row r="216" customFormat="false" ht="15" hidden="false" customHeight="false" outlineLevel="0" collapsed="false">
      <c r="A216" s="34"/>
      <c r="B216" s="9"/>
      <c r="C216" s="9"/>
      <c r="D216" s="9"/>
      <c r="E216" s="9"/>
      <c r="F216" s="9"/>
      <c r="G216" s="35"/>
      <c r="H216" s="9"/>
    </row>
    <row r="217" customFormat="false" ht="15" hidden="false" customHeight="false" outlineLevel="0" collapsed="false">
      <c r="A217" s="34"/>
      <c r="B217" s="9"/>
      <c r="C217" s="9"/>
      <c r="D217" s="9"/>
      <c r="E217" s="9"/>
      <c r="F217" s="9"/>
      <c r="G217" s="35"/>
      <c r="H217" s="9"/>
    </row>
    <row r="218" customFormat="false" ht="15" hidden="false" customHeight="false" outlineLevel="0" collapsed="false">
      <c r="A218" s="34"/>
      <c r="B218" s="9"/>
      <c r="C218" s="9"/>
      <c r="D218" s="9"/>
      <c r="E218" s="9"/>
      <c r="F218" s="9"/>
      <c r="G218" s="35"/>
      <c r="H218" s="9"/>
    </row>
    <row r="219" customFormat="false" ht="15" hidden="false" customHeight="false" outlineLevel="0" collapsed="false">
      <c r="A219" s="34"/>
      <c r="B219" s="9"/>
      <c r="C219" s="9"/>
      <c r="D219" s="9"/>
      <c r="E219" s="9"/>
      <c r="F219" s="9"/>
      <c r="G219" s="35"/>
      <c r="H219" s="9"/>
    </row>
    <row r="220" customFormat="false" ht="15" hidden="false" customHeight="false" outlineLevel="0" collapsed="false">
      <c r="A220" s="34"/>
      <c r="B220" s="9"/>
      <c r="C220" s="9"/>
      <c r="D220" s="9"/>
      <c r="E220" s="9"/>
      <c r="F220" s="9"/>
      <c r="G220" s="35"/>
      <c r="H220" s="9"/>
    </row>
    <row r="221" customFormat="false" ht="15" hidden="false" customHeight="false" outlineLevel="0" collapsed="false">
      <c r="A221" s="34"/>
      <c r="B221" s="9"/>
      <c r="C221" s="9"/>
      <c r="D221" s="9"/>
      <c r="E221" s="9"/>
      <c r="F221" s="9"/>
      <c r="G221" s="35"/>
      <c r="H221" s="9"/>
    </row>
    <row r="222" customFormat="false" ht="15" hidden="false" customHeight="false" outlineLevel="0" collapsed="false">
      <c r="A222" s="34"/>
      <c r="B222" s="9"/>
      <c r="C222" s="9"/>
      <c r="D222" s="9"/>
      <c r="E222" s="9"/>
      <c r="F222" s="9"/>
      <c r="G222" s="35"/>
      <c r="H222" s="9"/>
    </row>
    <row r="223" customFormat="false" ht="15" hidden="false" customHeight="false" outlineLevel="0" collapsed="false">
      <c r="A223" s="34"/>
      <c r="B223" s="9"/>
      <c r="C223" s="9"/>
      <c r="D223" s="9"/>
      <c r="E223" s="9"/>
      <c r="F223" s="9"/>
      <c r="G223" s="35"/>
      <c r="H223" s="9"/>
    </row>
    <row r="224" customFormat="false" ht="15" hidden="false" customHeight="false" outlineLevel="0" collapsed="false">
      <c r="A224" s="34"/>
      <c r="B224" s="9"/>
      <c r="C224" s="9"/>
      <c r="D224" s="9"/>
      <c r="E224" s="9"/>
      <c r="F224" s="9"/>
      <c r="G224" s="35"/>
      <c r="H224" s="9"/>
    </row>
    <row r="225" customFormat="false" ht="15" hidden="false" customHeight="false" outlineLevel="0" collapsed="false">
      <c r="A225" s="34"/>
      <c r="B225" s="9"/>
      <c r="C225" s="9"/>
      <c r="D225" s="9"/>
      <c r="E225" s="9"/>
      <c r="F225" s="9"/>
      <c r="G225" s="35"/>
      <c r="H225" s="9"/>
    </row>
    <row r="226" customFormat="false" ht="15" hidden="false" customHeight="false" outlineLevel="0" collapsed="false">
      <c r="A226" s="34"/>
      <c r="B226" s="9"/>
      <c r="C226" s="9"/>
      <c r="D226" s="9"/>
      <c r="E226" s="9"/>
      <c r="F226" s="9"/>
      <c r="G226" s="35"/>
      <c r="H226" s="9"/>
    </row>
    <row r="227" customFormat="false" ht="15" hidden="false" customHeight="false" outlineLevel="0" collapsed="false">
      <c r="A227" s="34"/>
      <c r="B227" s="9"/>
      <c r="C227" s="9"/>
      <c r="D227" s="9"/>
      <c r="E227" s="9"/>
      <c r="F227" s="9"/>
      <c r="G227" s="35"/>
      <c r="H227" s="9"/>
    </row>
    <row r="228" customFormat="false" ht="15" hidden="false" customHeight="false" outlineLevel="0" collapsed="false">
      <c r="A228" s="34"/>
      <c r="B228" s="9"/>
      <c r="C228" s="9"/>
      <c r="D228" s="9"/>
      <c r="E228" s="9"/>
      <c r="F228" s="9"/>
      <c r="G228" s="35"/>
      <c r="H228" s="9"/>
    </row>
    <row r="229" customFormat="false" ht="15" hidden="false" customHeight="false" outlineLevel="0" collapsed="false">
      <c r="A229" s="34"/>
      <c r="B229" s="9"/>
      <c r="C229" s="9"/>
      <c r="D229" s="9"/>
      <c r="E229" s="9"/>
      <c r="F229" s="9"/>
      <c r="G229" s="35"/>
      <c r="H229" s="9"/>
    </row>
    <row r="230" customFormat="false" ht="15" hidden="false" customHeight="false" outlineLevel="0" collapsed="false">
      <c r="A230" s="34"/>
      <c r="B230" s="9"/>
      <c r="C230" s="9"/>
      <c r="D230" s="9"/>
      <c r="E230" s="9"/>
      <c r="F230" s="9"/>
      <c r="G230" s="35"/>
      <c r="H230" s="9"/>
    </row>
    <row r="231" customFormat="false" ht="15" hidden="false" customHeight="false" outlineLevel="0" collapsed="false">
      <c r="A231" s="34"/>
      <c r="B231" s="9"/>
      <c r="C231" s="9"/>
      <c r="D231" s="9"/>
      <c r="E231" s="9"/>
      <c r="F231" s="9"/>
      <c r="G231" s="35"/>
      <c r="H231" s="9"/>
    </row>
    <row r="232" customFormat="false" ht="15" hidden="false" customHeight="false" outlineLevel="0" collapsed="false">
      <c r="A232" s="34"/>
      <c r="B232" s="9"/>
      <c r="C232" s="9"/>
      <c r="D232" s="9"/>
      <c r="E232" s="9"/>
      <c r="F232" s="9"/>
      <c r="G232" s="35"/>
      <c r="H232" s="9"/>
    </row>
    <row r="233" customFormat="false" ht="15" hidden="false" customHeight="false" outlineLevel="0" collapsed="false">
      <c r="A233" s="34"/>
      <c r="B233" s="9"/>
      <c r="C233" s="9"/>
      <c r="D233" s="9"/>
      <c r="E233" s="9"/>
      <c r="F233" s="9"/>
      <c r="G233" s="35"/>
      <c r="H233" s="9"/>
    </row>
    <row r="234" customFormat="false" ht="15" hidden="false" customHeight="false" outlineLevel="0" collapsed="false">
      <c r="A234" s="34"/>
      <c r="B234" s="9"/>
      <c r="C234" s="9"/>
      <c r="D234" s="9"/>
      <c r="E234" s="9"/>
      <c r="F234" s="9"/>
      <c r="G234" s="35"/>
      <c r="H234" s="9"/>
    </row>
    <row r="235" customFormat="false" ht="15" hidden="false" customHeight="false" outlineLevel="0" collapsed="false">
      <c r="A235" s="34"/>
      <c r="B235" s="9"/>
      <c r="C235" s="9"/>
      <c r="D235" s="9"/>
      <c r="E235" s="9"/>
      <c r="F235" s="9"/>
      <c r="G235" s="35"/>
      <c r="H235" s="9"/>
    </row>
    <row r="236" customFormat="false" ht="15" hidden="false" customHeight="false" outlineLevel="0" collapsed="false">
      <c r="A236" s="34"/>
      <c r="B236" s="9"/>
      <c r="C236" s="9"/>
      <c r="D236" s="9"/>
      <c r="E236" s="9"/>
      <c r="F236" s="9"/>
      <c r="G236" s="35"/>
      <c r="H236" s="9"/>
    </row>
    <row r="237" customFormat="false" ht="15" hidden="false" customHeight="false" outlineLevel="0" collapsed="false">
      <c r="A237" s="34"/>
      <c r="B237" s="9"/>
      <c r="C237" s="9"/>
      <c r="D237" s="9"/>
      <c r="E237" s="9"/>
      <c r="F237" s="9"/>
      <c r="G237" s="35"/>
      <c r="H237" s="9"/>
    </row>
    <row r="238" customFormat="false" ht="15" hidden="false" customHeight="false" outlineLevel="0" collapsed="false">
      <c r="A238" s="34"/>
      <c r="B238" s="9"/>
      <c r="C238" s="9"/>
      <c r="D238" s="9"/>
      <c r="E238" s="9"/>
      <c r="F238" s="9"/>
      <c r="G238" s="35"/>
      <c r="H238" s="9"/>
    </row>
    <row r="239" customFormat="false" ht="15" hidden="false" customHeight="false" outlineLevel="0" collapsed="false">
      <c r="A239" s="34"/>
      <c r="B239" s="9"/>
      <c r="C239" s="9"/>
      <c r="D239" s="9"/>
      <c r="E239" s="9"/>
      <c r="F239" s="9"/>
      <c r="G239" s="35"/>
      <c r="H239" s="9"/>
    </row>
    <row r="240" customFormat="false" ht="15" hidden="false" customHeight="false" outlineLevel="0" collapsed="false">
      <c r="A240" s="34"/>
      <c r="B240" s="9"/>
      <c r="C240" s="9"/>
      <c r="D240" s="9"/>
      <c r="E240" s="9"/>
      <c r="F240" s="9"/>
      <c r="G240" s="35"/>
      <c r="H240" s="9"/>
    </row>
    <row r="241" customFormat="false" ht="15" hidden="false" customHeight="false" outlineLevel="0" collapsed="false">
      <c r="A241" s="34"/>
      <c r="B241" s="9"/>
      <c r="C241" s="9"/>
      <c r="D241" s="9"/>
      <c r="E241" s="9"/>
      <c r="F241" s="9"/>
      <c r="G241" s="35"/>
      <c r="H241" s="9"/>
    </row>
    <row r="242" customFormat="false" ht="15" hidden="false" customHeight="false" outlineLevel="0" collapsed="false">
      <c r="A242" s="34"/>
      <c r="B242" s="9"/>
      <c r="C242" s="9"/>
      <c r="D242" s="9"/>
      <c r="E242" s="9"/>
      <c r="F242" s="9"/>
      <c r="G242" s="35"/>
      <c r="H242" s="9"/>
    </row>
    <row r="243" customFormat="false" ht="15" hidden="false" customHeight="false" outlineLevel="0" collapsed="false">
      <c r="A243" s="34"/>
      <c r="B243" s="9"/>
      <c r="C243" s="9"/>
      <c r="D243" s="9"/>
      <c r="E243" s="9"/>
      <c r="F243" s="9"/>
      <c r="G243" s="35"/>
      <c r="H243" s="9"/>
    </row>
    <row r="244" customFormat="false" ht="15" hidden="false" customHeight="false" outlineLevel="0" collapsed="false">
      <c r="A244" s="34"/>
      <c r="B244" s="9"/>
      <c r="C244" s="9"/>
      <c r="D244" s="9"/>
      <c r="E244" s="9"/>
      <c r="F244" s="9"/>
      <c r="G244" s="35"/>
      <c r="H244" s="9"/>
    </row>
    <row r="245" customFormat="false" ht="15" hidden="false" customHeight="false" outlineLevel="0" collapsed="false">
      <c r="A245" s="34"/>
      <c r="B245" s="9"/>
      <c r="C245" s="9"/>
      <c r="D245" s="9"/>
      <c r="E245" s="9"/>
      <c r="F245" s="9"/>
      <c r="G245" s="35"/>
      <c r="H245" s="9"/>
    </row>
    <row r="246" customFormat="false" ht="15" hidden="false" customHeight="false" outlineLevel="0" collapsed="false">
      <c r="A246" s="34"/>
      <c r="B246" s="9"/>
      <c r="C246" s="9"/>
      <c r="D246" s="9"/>
      <c r="E246" s="9"/>
      <c r="F246" s="9"/>
      <c r="G246" s="35"/>
      <c r="H246" s="9"/>
    </row>
    <row r="247" customFormat="false" ht="15" hidden="false" customHeight="false" outlineLevel="0" collapsed="false">
      <c r="A247" s="34"/>
      <c r="B247" s="9"/>
      <c r="C247" s="9"/>
      <c r="D247" s="9"/>
      <c r="E247" s="9"/>
      <c r="F247" s="9"/>
      <c r="G247" s="35"/>
      <c r="H247" s="9"/>
    </row>
    <row r="248" customFormat="false" ht="15" hidden="false" customHeight="false" outlineLevel="0" collapsed="false">
      <c r="A248" s="34"/>
      <c r="B248" s="9"/>
      <c r="C248" s="9"/>
      <c r="D248" s="9"/>
      <c r="E248" s="9"/>
      <c r="F248" s="9"/>
      <c r="G248" s="35"/>
      <c r="H248" s="9"/>
    </row>
    <row r="249" customFormat="false" ht="15" hidden="false" customHeight="false" outlineLevel="0" collapsed="false">
      <c r="A249" s="34"/>
      <c r="B249" s="9"/>
      <c r="C249" s="9"/>
      <c r="D249" s="9"/>
      <c r="E249" s="9"/>
      <c r="F249" s="9"/>
      <c r="G249" s="35"/>
      <c r="H249" s="9"/>
    </row>
    <row r="250" customFormat="false" ht="15" hidden="false" customHeight="false" outlineLevel="0" collapsed="false">
      <c r="A250" s="34"/>
      <c r="B250" s="9"/>
      <c r="C250" s="9"/>
      <c r="D250" s="9"/>
      <c r="E250" s="9"/>
      <c r="F250" s="9"/>
      <c r="G250" s="35"/>
      <c r="H250" s="9"/>
    </row>
    <row r="251" customFormat="false" ht="15" hidden="false" customHeight="false" outlineLevel="0" collapsed="false">
      <c r="A251" s="34"/>
      <c r="B251" s="9"/>
      <c r="C251" s="9"/>
      <c r="D251" s="9"/>
      <c r="E251" s="9"/>
      <c r="F251" s="9"/>
      <c r="G251" s="35"/>
      <c r="H251" s="9"/>
    </row>
    <row r="252" customFormat="false" ht="15" hidden="false" customHeight="false" outlineLevel="0" collapsed="false">
      <c r="A252" s="34"/>
      <c r="B252" s="9"/>
      <c r="C252" s="9"/>
      <c r="D252" s="9"/>
      <c r="E252" s="9"/>
      <c r="F252" s="9"/>
      <c r="G252" s="35"/>
      <c r="H252" s="9"/>
    </row>
    <row r="253" customFormat="false" ht="15" hidden="false" customHeight="false" outlineLevel="0" collapsed="false">
      <c r="A253" s="34"/>
      <c r="B253" s="9"/>
      <c r="C253" s="9"/>
      <c r="D253" s="9"/>
      <c r="E253" s="9"/>
      <c r="F253" s="9"/>
      <c r="G253" s="35"/>
      <c r="H253" s="9"/>
    </row>
    <row r="254" customFormat="false" ht="15" hidden="false" customHeight="false" outlineLevel="0" collapsed="false">
      <c r="A254" s="34"/>
      <c r="B254" s="9"/>
      <c r="C254" s="9"/>
      <c r="D254" s="9"/>
      <c r="E254" s="9"/>
      <c r="F254" s="9"/>
      <c r="G254" s="35"/>
      <c r="H254" s="9"/>
    </row>
    <row r="255" customFormat="false" ht="15" hidden="false" customHeight="false" outlineLevel="0" collapsed="false">
      <c r="A255" s="34"/>
      <c r="B255" s="9"/>
      <c r="C255" s="9"/>
      <c r="D255" s="9"/>
      <c r="E255" s="9"/>
      <c r="F255" s="9"/>
      <c r="G255" s="35"/>
      <c r="H255" s="9"/>
    </row>
    <row r="256" customFormat="false" ht="15" hidden="false" customHeight="false" outlineLevel="0" collapsed="false">
      <c r="A256" s="34"/>
      <c r="B256" s="9"/>
      <c r="C256" s="9"/>
      <c r="D256" s="9"/>
      <c r="E256" s="9"/>
      <c r="F256" s="9"/>
      <c r="G256" s="35"/>
      <c r="H256" s="9"/>
    </row>
    <row r="257" customFormat="false" ht="15" hidden="false" customHeight="false" outlineLevel="0" collapsed="false">
      <c r="A257" s="34"/>
      <c r="B257" s="9"/>
      <c r="C257" s="9"/>
      <c r="D257" s="9"/>
      <c r="E257" s="9"/>
      <c r="F257" s="9"/>
      <c r="G257" s="35"/>
      <c r="H257" s="9"/>
    </row>
    <row r="258" customFormat="false" ht="15" hidden="false" customHeight="false" outlineLevel="0" collapsed="false">
      <c r="A258" s="34"/>
      <c r="B258" s="9"/>
      <c r="C258" s="9"/>
      <c r="D258" s="9"/>
      <c r="E258" s="9"/>
      <c r="F258" s="9"/>
      <c r="G258" s="35"/>
      <c r="H258" s="9"/>
    </row>
    <row r="259" customFormat="false" ht="15" hidden="false" customHeight="false" outlineLevel="0" collapsed="false">
      <c r="A259" s="34"/>
      <c r="B259" s="9"/>
      <c r="C259" s="9"/>
      <c r="D259" s="9"/>
      <c r="E259" s="9"/>
      <c r="F259" s="9"/>
      <c r="G259" s="35"/>
      <c r="H259" s="9"/>
    </row>
    <row r="260" customFormat="false" ht="15" hidden="false" customHeight="false" outlineLevel="0" collapsed="false">
      <c r="A260" s="34"/>
      <c r="B260" s="9"/>
      <c r="C260" s="9"/>
      <c r="D260" s="9"/>
      <c r="E260" s="9"/>
      <c r="F260" s="9"/>
      <c r="G260" s="35"/>
      <c r="H260" s="9"/>
    </row>
    <row r="261" customFormat="false" ht="15" hidden="false" customHeight="false" outlineLevel="0" collapsed="false">
      <c r="A261" s="34"/>
      <c r="B261" s="9"/>
      <c r="C261" s="9"/>
      <c r="D261" s="9"/>
      <c r="E261" s="9"/>
      <c r="F261" s="9"/>
      <c r="G261" s="35"/>
      <c r="H261" s="9"/>
    </row>
    <row r="262" customFormat="false" ht="15" hidden="false" customHeight="false" outlineLevel="0" collapsed="false">
      <c r="A262" s="34"/>
      <c r="B262" s="9"/>
      <c r="C262" s="9"/>
      <c r="D262" s="9"/>
      <c r="E262" s="9"/>
      <c r="F262" s="9"/>
      <c r="G262" s="35"/>
      <c r="H262" s="9"/>
    </row>
    <row r="263" customFormat="false" ht="15" hidden="false" customHeight="false" outlineLevel="0" collapsed="false">
      <c r="A263" s="34"/>
      <c r="B263" s="9"/>
      <c r="C263" s="9"/>
      <c r="D263" s="9"/>
      <c r="E263" s="9"/>
      <c r="F263" s="9"/>
      <c r="G263" s="35"/>
      <c r="H263" s="9"/>
    </row>
    <row r="264" customFormat="false" ht="15" hidden="false" customHeight="false" outlineLevel="0" collapsed="false">
      <c r="A264" s="34"/>
      <c r="B264" s="9"/>
      <c r="C264" s="9"/>
      <c r="D264" s="9"/>
      <c r="E264" s="9"/>
      <c r="F264" s="9"/>
      <c r="G264" s="35"/>
      <c r="H264" s="9"/>
    </row>
    <row r="265" customFormat="false" ht="15" hidden="false" customHeight="false" outlineLevel="0" collapsed="false">
      <c r="A265" s="34"/>
      <c r="B265" s="9"/>
      <c r="C265" s="9"/>
      <c r="D265" s="9"/>
      <c r="E265" s="9"/>
      <c r="F265" s="9"/>
      <c r="G265" s="35"/>
      <c r="H265" s="9"/>
    </row>
    <row r="266" customFormat="false" ht="15" hidden="false" customHeight="false" outlineLevel="0" collapsed="false">
      <c r="A266" s="34"/>
      <c r="B266" s="9"/>
      <c r="C266" s="9"/>
      <c r="D266" s="9"/>
      <c r="E266" s="9"/>
      <c r="F266" s="9"/>
      <c r="G266" s="35"/>
      <c r="H266" s="9"/>
    </row>
    <row r="267" customFormat="false" ht="15" hidden="false" customHeight="false" outlineLevel="0" collapsed="false">
      <c r="A267" s="34"/>
      <c r="B267" s="9"/>
      <c r="C267" s="9"/>
      <c r="D267" s="9"/>
      <c r="E267" s="9"/>
      <c r="F267" s="9"/>
      <c r="G267" s="35"/>
      <c r="H267" s="9"/>
    </row>
    <row r="268" customFormat="false" ht="15" hidden="false" customHeight="false" outlineLevel="0" collapsed="false">
      <c r="A268" s="34"/>
      <c r="B268" s="9"/>
      <c r="C268" s="9"/>
      <c r="D268" s="9"/>
      <c r="E268" s="9"/>
      <c r="F268" s="9"/>
      <c r="G268" s="35"/>
      <c r="H268" s="9"/>
    </row>
    <row r="269" customFormat="false" ht="15" hidden="false" customHeight="false" outlineLevel="0" collapsed="false">
      <c r="A269" s="34"/>
      <c r="B269" s="9"/>
      <c r="C269" s="9"/>
      <c r="D269" s="9"/>
      <c r="E269" s="9"/>
      <c r="F269" s="9"/>
      <c r="G269" s="35"/>
      <c r="H269" s="9"/>
    </row>
    <row r="270" customFormat="false" ht="15" hidden="false" customHeight="false" outlineLevel="0" collapsed="false">
      <c r="A270" s="34"/>
      <c r="B270" s="9"/>
      <c r="C270" s="9"/>
      <c r="D270" s="9"/>
      <c r="E270" s="9"/>
      <c r="F270" s="9"/>
      <c r="G270" s="35"/>
      <c r="H270" s="9"/>
    </row>
    <row r="271" customFormat="false" ht="15" hidden="false" customHeight="false" outlineLevel="0" collapsed="false">
      <c r="A271" s="34"/>
      <c r="B271" s="9"/>
      <c r="C271" s="9"/>
      <c r="D271" s="9"/>
      <c r="E271" s="9"/>
      <c r="F271" s="9"/>
      <c r="G271" s="35"/>
      <c r="H271" s="9"/>
    </row>
    <row r="272" customFormat="false" ht="15" hidden="false" customHeight="false" outlineLevel="0" collapsed="false">
      <c r="A272" s="34"/>
      <c r="B272" s="9"/>
      <c r="C272" s="9"/>
      <c r="D272" s="9"/>
      <c r="E272" s="9"/>
      <c r="F272" s="9"/>
      <c r="G272" s="35"/>
      <c r="H272" s="9"/>
    </row>
    <row r="273" customFormat="false" ht="15" hidden="false" customHeight="false" outlineLevel="0" collapsed="false">
      <c r="A273" s="34"/>
      <c r="B273" s="9"/>
      <c r="C273" s="9"/>
      <c r="D273" s="9"/>
      <c r="E273" s="9"/>
      <c r="F273" s="9"/>
      <c r="G273" s="35"/>
      <c r="H273" s="9"/>
    </row>
    <row r="274" customFormat="false" ht="15" hidden="false" customHeight="false" outlineLevel="0" collapsed="false">
      <c r="A274" s="34"/>
      <c r="B274" s="9"/>
      <c r="C274" s="9"/>
      <c r="D274" s="9"/>
      <c r="E274" s="9"/>
      <c r="F274" s="9"/>
      <c r="G274" s="35"/>
      <c r="H274" s="9"/>
    </row>
    <row r="275" customFormat="false" ht="15" hidden="false" customHeight="false" outlineLevel="0" collapsed="false">
      <c r="A275" s="34"/>
      <c r="B275" s="9"/>
      <c r="C275" s="9"/>
      <c r="D275" s="9"/>
      <c r="E275" s="9"/>
      <c r="F275" s="9"/>
      <c r="G275" s="35"/>
      <c r="H275" s="9"/>
    </row>
    <row r="276" customFormat="false" ht="15" hidden="false" customHeight="false" outlineLevel="0" collapsed="false">
      <c r="A276" s="34"/>
      <c r="B276" s="9"/>
      <c r="C276" s="9"/>
      <c r="D276" s="9"/>
      <c r="E276" s="9"/>
      <c r="F276" s="9"/>
      <c r="G276" s="35"/>
      <c r="H276" s="9"/>
    </row>
    <row r="277" customFormat="false" ht="15" hidden="false" customHeight="false" outlineLevel="0" collapsed="false">
      <c r="A277" s="34"/>
      <c r="B277" s="9"/>
      <c r="C277" s="9"/>
      <c r="D277" s="9"/>
      <c r="E277" s="9"/>
      <c r="F277" s="9"/>
      <c r="G277" s="35"/>
      <c r="H277" s="9"/>
    </row>
    <row r="278" customFormat="false" ht="15" hidden="false" customHeight="false" outlineLevel="0" collapsed="false">
      <c r="A278" s="34"/>
      <c r="B278" s="9"/>
      <c r="C278" s="9"/>
      <c r="D278" s="9"/>
      <c r="E278" s="9"/>
      <c r="F278" s="9"/>
      <c r="G278" s="35"/>
      <c r="H278" s="9"/>
    </row>
    <row r="279" customFormat="false" ht="15" hidden="false" customHeight="false" outlineLevel="0" collapsed="false">
      <c r="A279" s="34"/>
      <c r="B279" s="9"/>
      <c r="C279" s="9"/>
      <c r="D279" s="9"/>
      <c r="E279" s="9"/>
      <c r="F279" s="9"/>
      <c r="G279" s="35"/>
      <c r="H279" s="9"/>
    </row>
    <row r="280" customFormat="false" ht="15" hidden="false" customHeight="false" outlineLevel="0" collapsed="false">
      <c r="A280" s="34"/>
      <c r="B280" s="9"/>
      <c r="C280" s="9"/>
      <c r="D280" s="9"/>
      <c r="E280" s="9"/>
      <c r="F280" s="9"/>
      <c r="G280" s="35"/>
      <c r="H280" s="9"/>
    </row>
    <row r="281" customFormat="false" ht="15" hidden="false" customHeight="false" outlineLevel="0" collapsed="false">
      <c r="A281" s="34"/>
      <c r="B281" s="9"/>
      <c r="C281" s="9"/>
      <c r="D281" s="9"/>
      <c r="E281" s="9"/>
      <c r="F281" s="9"/>
      <c r="G281" s="35"/>
      <c r="H281" s="9"/>
    </row>
    <row r="282" customFormat="false" ht="15" hidden="false" customHeight="false" outlineLevel="0" collapsed="false">
      <c r="A282" s="34"/>
      <c r="B282" s="9"/>
      <c r="C282" s="9"/>
      <c r="D282" s="9"/>
      <c r="E282" s="9"/>
      <c r="F282" s="9"/>
      <c r="G282" s="35"/>
      <c r="H282" s="9"/>
    </row>
    <row r="283" customFormat="false" ht="15" hidden="false" customHeight="false" outlineLevel="0" collapsed="false">
      <c r="A283" s="34"/>
      <c r="B283" s="9"/>
      <c r="C283" s="9"/>
      <c r="D283" s="9"/>
      <c r="E283" s="9"/>
      <c r="F283" s="9"/>
      <c r="G283" s="35"/>
      <c r="H283" s="9"/>
    </row>
    <row r="284" customFormat="false" ht="15" hidden="false" customHeight="false" outlineLevel="0" collapsed="false">
      <c r="A284" s="34"/>
      <c r="B284" s="9"/>
      <c r="C284" s="9"/>
      <c r="D284" s="9"/>
      <c r="E284" s="9"/>
      <c r="F284" s="9"/>
      <c r="G284" s="35"/>
      <c r="H284" s="9"/>
    </row>
    <row r="285" customFormat="false" ht="15" hidden="false" customHeight="false" outlineLevel="0" collapsed="false">
      <c r="A285" s="34"/>
      <c r="B285" s="9"/>
      <c r="C285" s="9"/>
      <c r="D285" s="9"/>
      <c r="E285" s="9"/>
      <c r="F285" s="9"/>
      <c r="G285" s="35"/>
      <c r="H285" s="9"/>
    </row>
    <row r="286" customFormat="false" ht="15" hidden="false" customHeight="false" outlineLevel="0" collapsed="false">
      <c r="A286" s="34"/>
      <c r="B286" s="9"/>
      <c r="C286" s="9"/>
      <c r="D286" s="9"/>
      <c r="E286" s="9"/>
      <c r="F286" s="9"/>
      <c r="G286" s="35"/>
      <c r="H286" s="9"/>
    </row>
    <row r="287" customFormat="false" ht="15" hidden="false" customHeight="false" outlineLevel="0" collapsed="false">
      <c r="A287" s="34"/>
      <c r="B287" s="9"/>
      <c r="C287" s="9"/>
      <c r="D287" s="9"/>
      <c r="E287" s="9"/>
      <c r="F287" s="9"/>
      <c r="G287" s="35"/>
      <c r="H287" s="9"/>
    </row>
    <row r="288" customFormat="false" ht="15" hidden="false" customHeight="false" outlineLevel="0" collapsed="false">
      <c r="A288" s="34"/>
      <c r="B288" s="9"/>
      <c r="C288" s="9"/>
      <c r="D288" s="9"/>
      <c r="E288" s="9"/>
      <c r="F288" s="9"/>
      <c r="G288" s="35"/>
      <c r="H288" s="9"/>
    </row>
    <row r="289" customFormat="false" ht="15" hidden="false" customHeight="false" outlineLevel="0" collapsed="false">
      <c r="A289" s="34"/>
      <c r="B289" s="9"/>
      <c r="C289" s="9"/>
      <c r="D289" s="9"/>
      <c r="E289" s="9"/>
      <c r="F289" s="9"/>
      <c r="G289" s="35"/>
      <c r="H289" s="9"/>
    </row>
    <row r="290" customFormat="false" ht="15" hidden="false" customHeight="false" outlineLevel="0" collapsed="false">
      <c r="A290" s="34"/>
      <c r="B290" s="9"/>
      <c r="C290" s="9"/>
      <c r="D290" s="9"/>
      <c r="E290" s="9"/>
      <c r="F290" s="9"/>
      <c r="G290" s="35"/>
      <c r="H290" s="9"/>
    </row>
    <row r="291" customFormat="false" ht="15" hidden="false" customHeight="false" outlineLevel="0" collapsed="false">
      <c r="A291" s="34"/>
      <c r="B291" s="9"/>
      <c r="C291" s="9"/>
      <c r="D291" s="9"/>
      <c r="E291" s="9"/>
      <c r="F291" s="9"/>
      <c r="G291" s="35"/>
      <c r="H291" s="9"/>
    </row>
    <row r="292" customFormat="false" ht="15" hidden="false" customHeight="false" outlineLevel="0" collapsed="false">
      <c r="A292" s="34"/>
      <c r="B292" s="9"/>
      <c r="C292" s="9"/>
      <c r="D292" s="9"/>
      <c r="E292" s="9"/>
      <c r="F292" s="9"/>
      <c r="G292" s="35"/>
      <c r="H292" s="9"/>
    </row>
    <row r="293" customFormat="false" ht="15" hidden="false" customHeight="false" outlineLevel="0" collapsed="false">
      <c r="A293" s="34"/>
      <c r="B293" s="9"/>
      <c r="C293" s="9"/>
      <c r="D293" s="9"/>
      <c r="E293" s="9"/>
      <c r="F293" s="9"/>
      <c r="G293" s="35"/>
      <c r="H293" s="9"/>
    </row>
    <row r="294" customFormat="false" ht="15" hidden="false" customHeight="false" outlineLevel="0" collapsed="false">
      <c r="A294" s="34"/>
      <c r="B294" s="9"/>
      <c r="C294" s="9"/>
      <c r="D294" s="9"/>
      <c r="E294" s="9"/>
      <c r="F294" s="9"/>
      <c r="G294" s="35"/>
      <c r="H294" s="9"/>
    </row>
    <row r="295" customFormat="false" ht="15" hidden="false" customHeight="false" outlineLevel="0" collapsed="false">
      <c r="A295" s="34"/>
      <c r="B295" s="9"/>
      <c r="C295" s="9"/>
      <c r="D295" s="9"/>
      <c r="E295" s="9"/>
      <c r="F295" s="9"/>
      <c r="G295" s="35"/>
      <c r="H295" s="9"/>
    </row>
    <row r="296" customFormat="false" ht="15" hidden="false" customHeight="false" outlineLevel="0" collapsed="false">
      <c r="A296" s="34"/>
      <c r="B296" s="9"/>
      <c r="C296" s="9"/>
      <c r="D296" s="9"/>
      <c r="E296" s="9"/>
      <c r="F296" s="9"/>
      <c r="G296" s="35"/>
      <c r="H296" s="9"/>
    </row>
    <row r="297" customFormat="false" ht="15" hidden="false" customHeight="false" outlineLevel="0" collapsed="false">
      <c r="A297" s="34"/>
      <c r="B297" s="9"/>
      <c r="C297" s="9"/>
      <c r="D297" s="9"/>
      <c r="E297" s="9"/>
      <c r="F297" s="9"/>
      <c r="G297" s="35"/>
      <c r="H297" s="9"/>
    </row>
    <row r="298" customFormat="false" ht="15" hidden="false" customHeight="false" outlineLevel="0" collapsed="false">
      <c r="A298" s="34"/>
      <c r="B298" s="9"/>
      <c r="C298" s="9"/>
      <c r="D298" s="9"/>
      <c r="E298" s="9"/>
      <c r="F298" s="9"/>
      <c r="G298" s="35"/>
      <c r="H298" s="9"/>
    </row>
    <row r="299" customFormat="false" ht="15" hidden="false" customHeight="false" outlineLevel="0" collapsed="false">
      <c r="A299" s="34"/>
      <c r="B299" s="9"/>
      <c r="C299" s="9"/>
      <c r="D299" s="9"/>
      <c r="E299" s="9"/>
      <c r="F299" s="9"/>
      <c r="G299" s="35"/>
      <c r="H299" s="9"/>
    </row>
    <row r="300" customFormat="false" ht="15" hidden="false" customHeight="false" outlineLevel="0" collapsed="false">
      <c r="A300" s="34"/>
      <c r="B300" s="9"/>
      <c r="C300" s="9"/>
      <c r="D300" s="9"/>
      <c r="E300" s="9"/>
      <c r="F300" s="9"/>
      <c r="G300" s="35"/>
      <c r="H300" s="9"/>
    </row>
    <row r="301" customFormat="false" ht="15" hidden="false" customHeight="false" outlineLevel="0" collapsed="false">
      <c r="A301" s="34"/>
      <c r="B301" s="9"/>
      <c r="C301" s="9"/>
      <c r="D301" s="9"/>
      <c r="E301" s="9"/>
      <c r="F301" s="9"/>
      <c r="G301" s="35"/>
      <c r="H301" s="9"/>
    </row>
    <row r="302" customFormat="false" ht="15" hidden="false" customHeight="false" outlineLevel="0" collapsed="false">
      <c r="A302" s="34"/>
      <c r="B302" s="9"/>
      <c r="C302" s="9"/>
      <c r="D302" s="9"/>
      <c r="E302" s="9"/>
      <c r="F302" s="9"/>
      <c r="G302" s="35"/>
      <c r="H302" s="9"/>
    </row>
    <row r="303" customFormat="false" ht="15" hidden="false" customHeight="false" outlineLevel="0" collapsed="false">
      <c r="A303" s="34"/>
      <c r="B303" s="9"/>
      <c r="C303" s="9"/>
      <c r="D303" s="9"/>
      <c r="E303" s="9"/>
      <c r="F303" s="9"/>
      <c r="G303" s="35"/>
      <c r="H303" s="9"/>
    </row>
    <row r="304" customFormat="false" ht="15" hidden="false" customHeight="false" outlineLevel="0" collapsed="false">
      <c r="A304" s="34"/>
      <c r="B304" s="9"/>
      <c r="C304" s="9"/>
      <c r="D304" s="9"/>
      <c r="E304" s="9"/>
      <c r="F304" s="9"/>
      <c r="G304" s="35"/>
      <c r="H304" s="9"/>
    </row>
    <row r="305" customFormat="false" ht="15" hidden="false" customHeight="false" outlineLevel="0" collapsed="false">
      <c r="A305" s="34"/>
      <c r="B305" s="9"/>
      <c r="C305" s="9"/>
      <c r="D305" s="9"/>
      <c r="E305" s="9"/>
      <c r="F305" s="9"/>
      <c r="G305" s="35"/>
      <c r="H305" s="9"/>
    </row>
    <row r="306" customFormat="false" ht="15" hidden="false" customHeight="false" outlineLevel="0" collapsed="false">
      <c r="A306" s="34"/>
      <c r="B306" s="9"/>
      <c r="C306" s="9"/>
      <c r="D306" s="9"/>
      <c r="E306" s="9"/>
      <c r="F306" s="9"/>
      <c r="G306" s="35"/>
      <c r="H306" s="9"/>
    </row>
    <row r="307" customFormat="false" ht="15" hidden="false" customHeight="false" outlineLevel="0" collapsed="false">
      <c r="A307" s="34"/>
      <c r="B307" s="9"/>
      <c r="C307" s="9"/>
      <c r="D307" s="9"/>
      <c r="E307" s="9"/>
      <c r="F307" s="9"/>
      <c r="G307" s="35"/>
      <c r="H307" s="9"/>
    </row>
    <row r="308" customFormat="false" ht="15" hidden="false" customHeight="false" outlineLevel="0" collapsed="false">
      <c r="A308" s="34"/>
      <c r="B308" s="9"/>
      <c r="C308" s="9"/>
      <c r="D308" s="9"/>
      <c r="E308" s="9"/>
      <c r="F308" s="9"/>
      <c r="G308" s="35"/>
      <c r="H308" s="9"/>
    </row>
    <row r="309" customFormat="false" ht="15" hidden="false" customHeight="false" outlineLevel="0" collapsed="false">
      <c r="A309" s="34"/>
      <c r="B309" s="9"/>
      <c r="C309" s="9"/>
      <c r="D309" s="9"/>
      <c r="E309" s="9"/>
      <c r="F309" s="9"/>
      <c r="G309" s="35"/>
      <c r="H309" s="9"/>
    </row>
    <row r="310" customFormat="false" ht="15" hidden="false" customHeight="false" outlineLevel="0" collapsed="false">
      <c r="A310" s="34"/>
      <c r="B310" s="9"/>
      <c r="C310" s="9"/>
      <c r="D310" s="9"/>
      <c r="E310" s="9"/>
      <c r="F310" s="9"/>
      <c r="G310" s="35"/>
      <c r="H310" s="9"/>
    </row>
    <row r="311" customFormat="false" ht="15" hidden="false" customHeight="false" outlineLevel="0" collapsed="false">
      <c r="A311" s="34"/>
      <c r="B311" s="9"/>
      <c r="C311" s="9"/>
      <c r="D311" s="9"/>
      <c r="E311" s="9"/>
      <c r="F311" s="9"/>
      <c r="G311" s="35"/>
      <c r="H311" s="9"/>
    </row>
    <row r="312" customFormat="false" ht="15" hidden="false" customHeight="false" outlineLevel="0" collapsed="false">
      <c r="A312" s="34"/>
      <c r="B312" s="9"/>
      <c r="C312" s="9"/>
      <c r="D312" s="9"/>
      <c r="E312" s="9"/>
      <c r="F312" s="9"/>
      <c r="G312" s="35"/>
      <c r="H312" s="9"/>
    </row>
    <row r="313" customFormat="false" ht="15" hidden="false" customHeight="false" outlineLevel="0" collapsed="false">
      <c r="A313" s="34"/>
      <c r="B313" s="9"/>
      <c r="C313" s="9"/>
      <c r="D313" s="9"/>
      <c r="E313" s="9"/>
      <c r="F313" s="9"/>
      <c r="G313" s="35"/>
      <c r="H313" s="9"/>
    </row>
    <row r="314" customFormat="false" ht="15" hidden="false" customHeight="false" outlineLevel="0" collapsed="false">
      <c r="A314" s="34"/>
      <c r="B314" s="9"/>
      <c r="C314" s="9"/>
      <c r="D314" s="9"/>
      <c r="E314" s="9"/>
      <c r="F314" s="9"/>
      <c r="G314" s="35"/>
      <c r="H314" s="9"/>
    </row>
    <row r="315" customFormat="false" ht="15" hidden="false" customHeight="false" outlineLevel="0" collapsed="false">
      <c r="A315" s="34"/>
      <c r="B315" s="9"/>
      <c r="C315" s="9"/>
      <c r="D315" s="9"/>
      <c r="E315" s="9"/>
      <c r="F315" s="9"/>
      <c r="G315" s="35"/>
      <c r="H315" s="9"/>
    </row>
    <row r="316" customFormat="false" ht="15" hidden="false" customHeight="false" outlineLevel="0" collapsed="false">
      <c r="A316" s="34"/>
      <c r="B316" s="9"/>
      <c r="C316" s="9"/>
      <c r="D316" s="9"/>
      <c r="E316" s="9"/>
      <c r="F316" s="9"/>
      <c r="G316" s="35"/>
      <c r="H316" s="9"/>
    </row>
    <row r="317" customFormat="false" ht="15" hidden="false" customHeight="false" outlineLevel="0" collapsed="false">
      <c r="A317" s="34"/>
      <c r="B317" s="9"/>
      <c r="C317" s="9"/>
      <c r="D317" s="9"/>
      <c r="E317" s="9"/>
      <c r="F317" s="9"/>
      <c r="G317" s="35"/>
      <c r="H317" s="9"/>
    </row>
    <row r="318" customFormat="false" ht="15" hidden="false" customHeight="false" outlineLevel="0" collapsed="false">
      <c r="A318" s="34"/>
      <c r="B318" s="9"/>
      <c r="C318" s="9"/>
      <c r="D318" s="9"/>
      <c r="E318" s="9"/>
      <c r="F318" s="9"/>
      <c r="G318" s="35"/>
      <c r="H318" s="9"/>
    </row>
    <row r="319" customFormat="false" ht="15" hidden="false" customHeight="false" outlineLevel="0" collapsed="false">
      <c r="A319" s="34"/>
      <c r="B319" s="9"/>
      <c r="C319" s="9"/>
      <c r="D319" s="9"/>
      <c r="E319" s="9"/>
      <c r="F319" s="9"/>
      <c r="G319" s="35"/>
      <c r="H319" s="9"/>
    </row>
    <row r="320" customFormat="false" ht="15" hidden="false" customHeight="false" outlineLevel="0" collapsed="false">
      <c r="A320" s="34"/>
      <c r="B320" s="9"/>
      <c r="C320" s="9"/>
      <c r="D320" s="9"/>
      <c r="E320" s="9"/>
      <c r="F320" s="9"/>
      <c r="G320" s="35"/>
      <c r="H320" s="9"/>
    </row>
    <row r="321" customFormat="false" ht="15" hidden="false" customHeight="false" outlineLevel="0" collapsed="false">
      <c r="A321" s="34"/>
      <c r="B321" s="9"/>
      <c r="C321" s="9"/>
      <c r="D321" s="9"/>
      <c r="E321" s="9"/>
      <c r="F321" s="9"/>
      <c r="G321" s="35"/>
      <c r="H321" s="9"/>
    </row>
    <row r="322" customFormat="false" ht="15" hidden="false" customHeight="false" outlineLevel="0" collapsed="false">
      <c r="A322" s="34"/>
      <c r="B322" s="9"/>
      <c r="C322" s="9"/>
      <c r="D322" s="9"/>
      <c r="E322" s="9"/>
      <c r="F322" s="9"/>
      <c r="G322" s="35"/>
      <c r="H322" s="9"/>
    </row>
    <row r="323" customFormat="false" ht="15" hidden="false" customHeight="false" outlineLevel="0" collapsed="false">
      <c r="A323" s="34"/>
      <c r="B323" s="9"/>
      <c r="C323" s="9"/>
      <c r="D323" s="9"/>
      <c r="E323" s="9"/>
      <c r="F323" s="9"/>
      <c r="G323" s="35"/>
      <c r="H323" s="9"/>
    </row>
    <row r="324" customFormat="false" ht="15" hidden="false" customHeight="false" outlineLevel="0" collapsed="false">
      <c r="A324" s="34"/>
      <c r="B324" s="9"/>
      <c r="C324" s="9"/>
      <c r="D324" s="9"/>
      <c r="E324" s="9"/>
      <c r="F324" s="9"/>
      <c r="G324" s="35"/>
      <c r="H324" s="9"/>
    </row>
    <row r="325" customFormat="false" ht="15" hidden="false" customHeight="false" outlineLevel="0" collapsed="false">
      <c r="A325" s="34"/>
      <c r="B325" s="9"/>
      <c r="C325" s="9"/>
      <c r="D325" s="9"/>
      <c r="E325" s="9"/>
      <c r="F325" s="9"/>
      <c r="G325" s="35"/>
      <c r="H325" s="9"/>
    </row>
    <row r="326" customFormat="false" ht="15" hidden="false" customHeight="false" outlineLevel="0" collapsed="false">
      <c r="A326" s="34"/>
      <c r="B326" s="9"/>
      <c r="C326" s="9"/>
      <c r="D326" s="9"/>
      <c r="E326" s="9"/>
      <c r="F326" s="9"/>
      <c r="G326" s="35"/>
      <c r="H326" s="9"/>
    </row>
    <row r="327" customFormat="false" ht="15" hidden="false" customHeight="false" outlineLevel="0" collapsed="false">
      <c r="A327" s="34"/>
      <c r="B327" s="9"/>
      <c r="C327" s="9"/>
      <c r="D327" s="9"/>
      <c r="E327" s="9"/>
      <c r="F327" s="9"/>
      <c r="G327" s="35"/>
      <c r="H327" s="9"/>
    </row>
    <row r="328" customFormat="false" ht="15" hidden="false" customHeight="false" outlineLevel="0" collapsed="false">
      <c r="A328" s="34"/>
      <c r="B328" s="9"/>
      <c r="C328" s="9"/>
      <c r="D328" s="9"/>
      <c r="E328" s="9"/>
      <c r="F328" s="9"/>
      <c r="G328" s="35"/>
      <c r="H328" s="9"/>
    </row>
    <row r="329" customFormat="false" ht="15" hidden="false" customHeight="false" outlineLevel="0" collapsed="false">
      <c r="A329" s="34"/>
      <c r="B329" s="9"/>
      <c r="C329" s="9"/>
      <c r="D329" s="9"/>
      <c r="E329" s="9"/>
      <c r="F329" s="9"/>
      <c r="G329" s="35"/>
      <c r="H329" s="9"/>
    </row>
    <row r="330" customFormat="false" ht="15" hidden="false" customHeight="false" outlineLevel="0" collapsed="false">
      <c r="A330" s="34"/>
      <c r="B330" s="9"/>
      <c r="C330" s="9"/>
      <c r="D330" s="9"/>
      <c r="E330" s="9"/>
      <c r="F330" s="9"/>
      <c r="G330" s="35"/>
      <c r="H330" s="9"/>
    </row>
    <row r="331" customFormat="false" ht="15" hidden="false" customHeight="false" outlineLevel="0" collapsed="false">
      <c r="A331" s="34"/>
      <c r="B331" s="9"/>
      <c r="C331" s="9"/>
      <c r="D331" s="9"/>
      <c r="E331" s="9"/>
      <c r="F331" s="9"/>
      <c r="G331" s="35"/>
      <c r="H331" s="9"/>
    </row>
    <row r="332" customFormat="false" ht="15" hidden="false" customHeight="false" outlineLevel="0" collapsed="false">
      <c r="A332" s="34"/>
      <c r="B332" s="9"/>
      <c r="C332" s="9"/>
      <c r="D332" s="9"/>
      <c r="E332" s="9"/>
      <c r="F332" s="9"/>
      <c r="G332" s="35"/>
      <c r="H332" s="9"/>
    </row>
    <row r="333" customFormat="false" ht="15" hidden="false" customHeight="false" outlineLevel="0" collapsed="false">
      <c r="A333" s="34"/>
      <c r="B333" s="9"/>
      <c r="C333" s="9"/>
      <c r="D333" s="9"/>
      <c r="E333" s="9"/>
      <c r="F333" s="9"/>
      <c r="G333" s="35"/>
      <c r="H333" s="9"/>
    </row>
    <row r="334" customFormat="false" ht="15" hidden="false" customHeight="false" outlineLevel="0" collapsed="false">
      <c r="A334" s="34"/>
      <c r="B334" s="9"/>
      <c r="C334" s="9"/>
      <c r="D334" s="9"/>
      <c r="E334" s="9"/>
      <c r="F334" s="9"/>
      <c r="G334" s="35"/>
      <c r="H334" s="9"/>
    </row>
    <row r="335" customFormat="false" ht="15" hidden="false" customHeight="false" outlineLevel="0" collapsed="false">
      <c r="A335" s="34"/>
      <c r="B335" s="9"/>
      <c r="C335" s="9"/>
      <c r="D335" s="9"/>
      <c r="E335" s="9"/>
      <c r="F335" s="9"/>
      <c r="G335" s="35"/>
      <c r="H335" s="9"/>
    </row>
    <row r="336" customFormat="false" ht="15" hidden="false" customHeight="false" outlineLevel="0" collapsed="false">
      <c r="A336" s="34"/>
      <c r="B336" s="9"/>
      <c r="C336" s="9"/>
      <c r="D336" s="9"/>
      <c r="E336" s="9"/>
      <c r="F336" s="9"/>
      <c r="G336" s="35"/>
      <c r="H336" s="9"/>
    </row>
    <row r="337" customFormat="false" ht="15" hidden="false" customHeight="false" outlineLevel="0" collapsed="false">
      <c r="A337" s="34"/>
      <c r="B337" s="9"/>
      <c r="C337" s="9"/>
      <c r="D337" s="9"/>
      <c r="E337" s="9"/>
      <c r="F337" s="9"/>
      <c r="G337" s="35"/>
      <c r="H337" s="9"/>
    </row>
    <row r="338" customFormat="false" ht="15" hidden="false" customHeight="false" outlineLevel="0" collapsed="false">
      <c r="A338" s="34"/>
      <c r="B338" s="9"/>
      <c r="C338" s="9"/>
      <c r="D338" s="9"/>
      <c r="E338" s="9"/>
      <c r="F338" s="9"/>
      <c r="G338" s="35"/>
      <c r="H338" s="9"/>
    </row>
    <row r="339" customFormat="false" ht="15" hidden="false" customHeight="false" outlineLevel="0" collapsed="false">
      <c r="A339" s="34"/>
      <c r="B339" s="9"/>
      <c r="C339" s="9"/>
      <c r="D339" s="9"/>
      <c r="E339" s="9"/>
      <c r="F339" s="9"/>
      <c r="G339" s="35"/>
      <c r="H339" s="9"/>
    </row>
    <row r="340" customFormat="false" ht="15" hidden="false" customHeight="false" outlineLevel="0" collapsed="false">
      <c r="A340" s="34"/>
      <c r="B340" s="9"/>
      <c r="C340" s="9"/>
      <c r="D340" s="9"/>
      <c r="E340" s="9"/>
      <c r="F340" s="9"/>
      <c r="G340" s="35"/>
      <c r="H340" s="9"/>
    </row>
    <row r="341" customFormat="false" ht="15" hidden="false" customHeight="false" outlineLevel="0" collapsed="false">
      <c r="A341" s="34"/>
      <c r="B341" s="9"/>
      <c r="C341" s="9"/>
      <c r="D341" s="9"/>
      <c r="E341" s="9"/>
      <c r="F341" s="9"/>
      <c r="G341" s="35"/>
      <c r="H341" s="9"/>
    </row>
    <row r="342" customFormat="false" ht="15" hidden="false" customHeight="false" outlineLevel="0" collapsed="false">
      <c r="A342" s="34"/>
      <c r="B342" s="9"/>
      <c r="C342" s="9"/>
      <c r="D342" s="9"/>
      <c r="E342" s="9"/>
      <c r="F342" s="9"/>
      <c r="G342" s="35"/>
      <c r="H342" s="9"/>
    </row>
    <row r="343" customFormat="false" ht="15" hidden="false" customHeight="false" outlineLevel="0" collapsed="false">
      <c r="A343" s="34"/>
      <c r="B343" s="9"/>
      <c r="C343" s="9"/>
      <c r="D343" s="9"/>
      <c r="E343" s="9"/>
      <c r="F343" s="9"/>
      <c r="G343" s="35"/>
      <c r="H343" s="9"/>
    </row>
    <row r="344" customFormat="false" ht="15" hidden="false" customHeight="false" outlineLevel="0" collapsed="false">
      <c r="A344" s="34"/>
      <c r="B344" s="9"/>
      <c r="C344" s="9"/>
      <c r="D344" s="9"/>
      <c r="E344" s="9"/>
      <c r="F344" s="9"/>
      <c r="G344" s="35"/>
      <c r="H344" s="9"/>
    </row>
    <row r="345" customFormat="false" ht="15" hidden="false" customHeight="false" outlineLevel="0" collapsed="false">
      <c r="A345" s="34"/>
      <c r="B345" s="9"/>
      <c r="C345" s="9"/>
      <c r="D345" s="9"/>
      <c r="E345" s="9"/>
      <c r="F345" s="9"/>
      <c r="G345" s="35"/>
      <c r="H345" s="9"/>
    </row>
    <row r="346" customFormat="false" ht="15" hidden="false" customHeight="false" outlineLevel="0" collapsed="false">
      <c r="A346" s="34"/>
      <c r="B346" s="9"/>
      <c r="C346" s="9"/>
      <c r="D346" s="9"/>
      <c r="E346" s="9"/>
      <c r="F346" s="9"/>
      <c r="G346" s="35"/>
      <c r="H346" s="9"/>
    </row>
    <row r="347" customFormat="false" ht="15" hidden="false" customHeight="false" outlineLevel="0" collapsed="false">
      <c r="A347" s="34"/>
      <c r="B347" s="9"/>
      <c r="C347" s="9"/>
      <c r="D347" s="9"/>
      <c r="E347" s="9"/>
      <c r="F347" s="9"/>
      <c r="G347" s="35"/>
      <c r="H347" s="9"/>
    </row>
    <row r="348" customFormat="false" ht="15" hidden="false" customHeight="false" outlineLevel="0" collapsed="false">
      <c r="A348" s="34"/>
      <c r="B348" s="9"/>
      <c r="C348" s="9"/>
      <c r="D348" s="9"/>
      <c r="E348" s="9"/>
      <c r="F348" s="9"/>
      <c r="G348" s="35"/>
      <c r="H348" s="9"/>
    </row>
    <row r="349" customFormat="false" ht="15" hidden="false" customHeight="false" outlineLevel="0" collapsed="false">
      <c r="A349" s="34"/>
      <c r="B349" s="9"/>
      <c r="C349" s="9"/>
      <c r="D349" s="9"/>
      <c r="E349" s="9"/>
      <c r="F349" s="9"/>
      <c r="G349" s="35"/>
      <c r="H349" s="9"/>
    </row>
    <row r="350" customFormat="false" ht="15" hidden="false" customHeight="false" outlineLevel="0" collapsed="false">
      <c r="A350" s="34"/>
      <c r="B350" s="9"/>
      <c r="C350" s="9"/>
      <c r="D350" s="9"/>
      <c r="E350" s="9"/>
      <c r="F350" s="9"/>
      <c r="G350" s="35"/>
      <c r="H350" s="9"/>
    </row>
    <row r="351" customFormat="false" ht="15" hidden="false" customHeight="false" outlineLevel="0" collapsed="false">
      <c r="A351" s="34"/>
      <c r="B351" s="9"/>
      <c r="C351" s="9"/>
      <c r="D351" s="9"/>
      <c r="E351" s="9"/>
      <c r="F351" s="9"/>
      <c r="G351" s="35"/>
      <c r="H351" s="9"/>
    </row>
    <row r="352" customFormat="false" ht="15" hidden="false" customHeight="false" outlineLevel="0" collapsed="false">
      <c r="A352" s="34"/>
      <c r="B352" s="9"/>
      <c r="C352" s="9"/>
      <c r="D352" s="9"/>
      <c r="E352" s="9"/>
      <c r="F352" s="9"/>
      <c r="G352" s="35"/>
      <c r="H352" s="9"/>
    </row>
    <row r="353" customFormat="false" ht="15" hidden="false" customHeight="false" outlineLevel="0" collapsed="false">
      <c r="A353" s="34"/>
      <c r="B353" s="9"/>
      <c r="C353" s="9"/>
      <c r="D353" s="9"/>
      <c r="E353" s="9"/>
      <c r="F353" s="9"/>
      <c r="G353" s="35"/>
      <c r="H353" s="9"/>
    </row>
    <row r="354" customFormat="false" ht="15" hidden="false" customHeight="false" outlineLevel="0" collapsed="false">
      <c r="A354" s="34"/>
      <c r="B354" s="9"/>
      <c r="C354" s="9"/>
      <c r="D354" s="9"/>
      <c r="E354" s="9"/>
      <c r="F354" s="9"/>
      <c r="G354" s="35"/>
      <c r="H354" s="9"/>
    </row>
    <row r="355" customFormat="false" ht="15" hidden="false" customHeight="false" outlineLevel="0" collapsed="false">
      <c r="A355" s="34"/>
      <c r="B355" s="9"/>
      <c r="C355" s="9"/>
      <c r="D355" s="9"/>
      <c r="E355" s="9"/>
      <c r="F355" s="9"/>
      <c r="G355" s="35"/>
      <c r="H355" s="9"/>
    </row>
    <row r="356" customFormat="false" ht="15" hidden="false" customHeight="false" outlineLevel="0" collapsed="false">
      <c r="A356" s="34"/>
      <c r="B356" s="9"/>
      <c r="C356" s="9"/>
      <c r="D356" s="9"/>
      <c r="E356" s="9"/>
      <c r="F356" s="9"/>
      <c r="G356" s="35"/>
      <c r="H356" s="9"/>
    </row>
    <row r="357" customFormat="false" ht="15" hidden="false" customHeight="false" outlineLevel="0" collapsed="false">
      <c r="A357" s="34"/>
      <c r="B357" s="9"/>
      <c r="C357" s="9"/>
      <c r="D357" s="9"/>
      <c r="E357" s="9"/>
      <c r="F357" s="9"/>
      <c r="G357" s="35"/>
      <c r="H357" s="9"/>
    </row>
    <row r="358" customFormat="false" ht="15" hidden="false" customHeight="false" outlineLevel="0" collapsed="false">
      <c r="A358" s="34"/>
      <c r="B358" s="9"/>
      <c r="C358" s="9"/>
      <c r="D358" s="9"/>
      <c r="E358" s="9"/>
      <c r="F358" s="9"/>
      <c r="G358" s="35"/>
      <c r="H358" s="9"/>
    </row>
    <row r="359" customFormat="false" ht="15" hidden="false" customHeight="false" outlineLevel="0" collapsed="false">
      <c r="A359" s="34"/>
      <c r="B359" s="9"/>
      <c r="C359" s="9"/>
      <c r="D359" s="9"/>
      <c r="E359" s="9"/>
      <c r="F359" s="9"/>
      <c r="G359" s="35"/>
      <c r="H359" s="9"/>
    </row>
    <row r="360" customFormat="false" ht="15" hidden="false" customHeight="false" outlineLevel="0" collapsed="false">
      <c r="A360" s="34"/>
      <c r="B360" s="9"/>
      <c r="C360" s="9"/>
      <c r="D360" s="9"/>
      <c r="E360" s="9"/>
      <c r="F360" s="9"/>
      <c r="G360" s="35"/>
      <c r="H360" s="9"/>
    </row>
    <row r="361" customFormat="false" ht="15" hidden="false" customHeight="false" outlineLevel="0" collapsed="false">
      <c r="A361" s="34"/>
      <c r="B361" s="9"/>
      <c r="C361" s="9"/>
      <c r="D361" s="9"/>
      <c r="E361" s="9"/>
      <c r="F361" s="9"/>
      <c r="G361" s="35"/>
      <c r="H361" s="9"/>
    </row>
    <row r="362" customFormat="false" ht="15" hidden="false" customHeight="false" outlineLevel="0" collapsed="false">
      <c r="A362" s="34"/>
      <c r="B362" s="9"/>
      <c r="C362" s="9"/>
      <c r="D362" s="9"/>
      <c r="E362" s="9"/>
      <c r="F362" s="9"/>
      <c r="G362" s="35"/>
      <c r="H362" s="9"/>
    </row>
    <row r="363" customFormat="false" ht="15" hidden="false" customHeight="false" outlineLevel="0" collapsed="false">
      <c r="A363" s="34"/>
      <c r="B363" s="9"/>
      <c r="C363" s="9"/>
      <c r="D363" s="9"/>
      <c r="E363" s="9"/>
      <c r="F363" s="9"/>
      <c r="G363" s="35"/>
      <c r="H363" s="9"/>
    </row>
    <row r="364" customFormat="false" ht="15" hidden="false" customHeight="false" outlineLevel="0" collapsed="false">
      <c r="A364" s="34"/>
      <c r="B364" s="9"/>
      <c r="C364" s="9"/>
      <c r="D364" s="9"/>
      <c r="E364" s="9"/>
      <c r="F364" s="9"/>
      <c r="G364" s="35"/>
      <c r="H364" s="9"/>
    </row>
    <row r="365" customFormat="false" ht="15" hidden="false" customHeight="false" outlineLevel="0" collapsed="false">
      <c r="A365" s="34"/>
      <c r="B365" s="9"/>
      <c r="C365" s="9"/>
      <c r="D365" s="9"/>
      <c r="E365" s="9"/>
      <c r="F365" s="9"/>
      <c r="G365" s="35"/>
      <c r="H365" s="9"/>
    </row>
    <row r="366" customFormat="false" ht="15" hidden="false" customHeight="false" outlineLevel="0" collapsed="false">
      <c r="A366" s="34"/>
      <c r="B366" s="9"/>
      <c r="C366" s="9"/>
      <c r="D366" s="9"/>
      <c r="E366" s="9"/>
      <c r="F366" s="9"/>
      <c r="G366" s="35"/>
      <c r="H366" s="9"/>
    </row>
    <row r="367" customFormat="false" ht="15" hidden="false" customHeight="false" outlineLevel="0" collapsed="false">
      <c r="A367" s="34"/>
      <c r="B367" s="9"/>
      <c r="C367" s="9"/>
      <c r="D367" s="9"/>
      <c r="E367" s="9"/>
      <c r="F367" s="9"/>
      <c r="G367" s="35"/>
      <c r="H367" s="9"/>
    </row>
    <row r="368" customFormat="false" ht="15" hidden="false" customHeight="false" outlineLevel="0" collapsed="false">
      <c r="A368" s="34"/>
      <c r="B368" s="9"/>
      <c r="C368" s="9"/>
      <c r="D368" s="9"/>
      <c r="E368" s="9"/>
      <c r="F368" s="9"/>
      <c r="G368" s="35"/>
      <c r="H368" s="9"/>
    </row>
    <row r="369" customFormat="false" ht="15" hidden="false" customHeight="false" outlineLevel="0" collapsed="false">
      <c r="A369" s="34"/>
      <c r="B369" s="9"/>
      <c r="C369" s="9"/>
      <c r="D369" s="9"/>
      <c r="E369" s="9"/>
      <c r="F369" s="9"/>
      <c r="G369" s="35"/>
      <c r="H369" s="9"/>
    </row>
    <row r="370" customFormat="false" ht="15" hidden="false" customHeight="false" outlineLevel="0" collapsed="false">
      <c r="A370" s="34"/>
      <c r="B370" s="9"/>
      <c r="C370" s="9"/>
      <c r="D370" s="9"/>
      <c r="E370" s="9"/>
      <c r="F370" s="9"/>
      <c r="G370" s="35"/>
      <c r="H370" s="9"/>
    </row>
    <row r="371" customFormat="false" ht="15" hidden="false" customHeight="false" outlineLevel="0" collapsed="false">
      <c r="A371" s="34"/>
      <c r="B371" s="9"/>
      <c r="C371" s="9"/>
      <c r="D371" s="9"/>
      <c r="E371" s="9"/>
      <c r="F371" s="9"/>
      <c r="G371" s="35"/>
      <c r="H371" s="9"/>
    </row>
    <row r="372" customFormat="false" ht="15" hidden="false" customHeight="false" outlineLevel="0" collapsed="false">
      <c r="A372" s="34"/>
      <c r="B372" s="9"/>
      <c r="C372" s="9"/>
      <c r="D372" s="9"/>
      <c r="E372" s="9"/>
      <c r="F372" s="9"/>
      <c r="G372" s="35"/>
      <c r="H372" s="9"/>
    </row>
    <row r="373" customFormat="false" ht="15" hidden="false" customHeight="false" outlineLevel="0" collapsed="false">
      <c r="A373" s="34"/>
      <c r="B373" s="9"/>
      <c r="C373" s="9"/>
      <c r="D373" s="9"/>
      <c r="E373" s="9"/>
      <c r="F373" s="9"/>
      <c r="G373" s="35"/>
      <c r="H373" s="9"/>
    </row>
    <row r="374" customFormat="false" ht="15" hidden="false" customHeight="false" outlineLevel="0" collapsed="false">
      <c r="A374" s="34"/>
      <c r="B374" s="9"/>
      <c r="C374" s="9"/>
      <c r="D374" s="9"/>
      <c r="E374" s="9"/>
      <c r="F374" s="9"/>
      <c r="G374" s="35"/>
      <c r="H374" s="9"/>
    </row>
    <row r="375" customFormat="false" ht="15" hidden="false" customHeight="false" outlineLevel="0" collapsed="false">
      <c r="A375" s="34"/>
      <c r="B375" s="9"/>
      <c r="C375" s="9"/>
      <c r="D375" s="9"/>
      <c r="E375" s="9"/>
      <c r="F375" s="9"/>
      <c r="G375" s="35"/>
      <c r="H375" s="9"/>
    </row>
    <row r="376" customFormat="false" ht="15" hidden="false" customHeight="false" outlineLevel="0" collapsed="false">
      <c r="A376" s="34"/>
      <c r="B376" s="9"/>
      <c r="C376" s="9"/>
      <c r="D376" s="9"/>
      <c r="E376" s="9"/>
      <c r="F376" s="9"/>
      <c r="G376" s="35"/>
      <c r="H376" s="9"/>
    </row>
    <row r="377" customFormat="false" ht="15" hidden="false" customHeight="false" outlineLevel="0" collapsed="false">
      <c r="A377" s="34"/>
      <c r="B377" s="9"/>
      <c r="C377" s="9"/>
      <c r="D377" s="9"/>
      <c r="E377" s="9"/>
      <c r="F377" s="9"/>
      <c r="G377" s="35"/>
      <c r="H377" s="9"/>
    </row>
    <row r="378" customFormat="false" ht="15" hidden="false" customHeight="false" outlineLevel="0" collapsed="false">
      <c r="A378" s="34"/>
      <c r="B378" s="9"/>
      <c r="C378" s="9"/>
      <c r="D378" s="9"/>
      <c r="E378" s="9"/>
      <c r="F378" s="9"/>
      <c r="G378" s="35"/>
      <c r="H378" s="9"/>
    </row>
    <row r="379" customFormat="false" ht="15" hidden="false" customHeight="false" outlineLevel="0" collapsed="false">
      <c r="A379" s="34"/>
      <c r="B379" s="9"/>
      <c r="C379" s="9"/>
      <c r="D379" s="9"/>
      <c r="E379" s="9"/>
      <c r="F379" s="9"/>
      <c r="G379" s="35"/>
      <c r="H379" s="9"/>
    </row>
    <row r="380" customFormat="false" ht="15" hidden="false" customHeight="false" outlineLevel="0" collapsed="false">
      <c r="A380" s="34"/>
      <c r="B380" s="9"/>
      <c r="C380" s="9"/>
      <c r="D380" s="9"/>
      <c r="E380" s="9"/>
      <c r="F380" s="9"/>
      <c r="G380" s="35"/>
      <c r="H380" s="9"/>
    </row>
    <row r="381" customFormat="false" ht="15" hidden="false" customHeight="false" outlineLevel="0" collapsed="false">
      <c r="A381" s="34"/>
      <c r="B381" s="9"/>
      <c r="C381" s="9"/>
      <c r="D381" s="9"/>
      <c r="E381" s="9"/>
      <c r="F381" s="9"/>
      <c r="G381" s="35"/>
      <c r="H381" s="9"/>
    </row>
    <row r="382" customFormat="false" ht="15" hidden="false" customHeight="false" outlineLevel="0" collapsed="false">
      <c r="A382" s="34"/>
      <c r="B382" s="9"/>
      <c r="C382" s="9"/>
      <c r="D382" s="9"/>
      <c r="E382" s="9"/>
      <c r="F382" s="9"/>
      <c r="G382" s="35"/>
      <c r="H382" s="9"/>
    </row>
    <row r="383" customFormat="false" ht="15" hidden="false" customHeight="false" outlineLevel="0" collapsed="false">
      <c r="A383" s="34"/>
      <c r="B383" s="9"/>
      <c r="C383" s="9"/>
      <c r="D383" s="9"/>
      <c r="E383" s="9"/>
      <c r="F383" s="9"/>
      <c r="G383" s="35"/>
      <c r="H383" s="9"/>
    </row>
    <row r="384" customFormat="false" ht="15" hidden="false" customHeight="false" outlineLevel="0" collapsed="false">
      <c r="A384" s="34"/>
      <c r="B384" s="9"/>
      <c r="C384" s="9"/>
      <c r="D384" s="9"/>
      <c r="E384" s="9"/>
      <c r="F384" s="9"/>
      <c r="G384" s="35"/>
      <c r="H384" s="9"/>
    </row>
    <row r="385" customFormat="false" ht="15" hidden="false" customHeight="false" outlineLevel="0" collapsed="false">
      <c r="A385" s="34"/>
      <c r="B385" s="9"/>
      <c r="C385" s="9"/>
      <c r="D385" s="9"/>
      <c r="E385" s="9"/>
      <c r="F385" s="9"/>
      <c r="G385" s="35"/>
      <c r="H385" s="9"/>
    </row>
    <row r="386" customFormat="false" ht="15" hidden="false" customHeight="false" outlineLevel="0" collapsed="false">
      <c r="A386" s="34"/>
      <c r="B386" s="9"/>
      <c r="C386" s="9"/>
      <c r="D386" s="9"/>
      <c r="E386" s="9"/>
      <c r="F386" s="9"/>
      <c r="G386" s="35"/>
      <c r="H386" s="9"/>
    </row>
    <row r="387" customFormat="false" ht="15" hidden="false" customHeight="false" outlineLevel="0" collapsed="false">
      <c r="A387" s="34"/>
      <c r="B387" s="9"/>
      <c r="C387" s="9"/>
      <c r="D387" s="9"/>
      <c r="E387" s="9"/>
      <c r="F387" s="9"/>
      <c r="G387" s="35"/>
      <c r="H387" s="9"/>
    </row>
    <row r="388" customFormat="false" ht="15" hidden="false" customHeight="false" outlineLevel="0" collapsed="false">
      <c r="A388" s="34"/>
      <c r="B388" s="9"/>
      <c r="C388" s="9"/>
      <c r="D388" s="9"/>
      <c r="E388" s="9"/>
      <c r="F388" s="9"/>
      <c r="G388" s="35"/>
      <c r="H388" s="9"/>
    </row>
    <row r="389" customFormat="false" ht="15" hidden="false" customHeight="false" outlineLevel="0" collapsed="false">
      <c r="A389" s="34"/>
      <c r="B389" s="9"/>
      <c r="C389" s="9"/>
      <c r="D389" s="9"/>
      <c r="E389" s="9"/>
      <c r="F389" s="9"/>
      <c r="G389" s="35"/>
      <c r="H389" s="9"/>
    </row>
    <row r="390" customFormat="false" ht="15" hidden="false" customHeight="false" outlineLevel="0" collapsed="false">
      <c r="A390" s="34"/>
      <c r="B390" s="9"/>
      <c r="C390" s="9"/>
      <c r="D390" s="9"/>
      <c r="E390" s="9"/>
      <c r="F390" s="9"/>
      <c r="G390" s="35"/>
      <c r="H390" s="9"/>
    </row>
    <row r="391" customFormat="false" ht="15" hidden="false" customHeight="false" outlineLevel="0" collapsed="false">
      <c r="A391" s="34"/>
      <c r="B391" s="9"/>
      <c r="C391" s="9"/>
      <c r="D391" s="9"/>
      <c r="E391" s="9"/>
      <c r="F391" s="9"/>
      <c r="G391" s="35"/>
      <c r="H391" s="9"/>
    </row>
    <row r="392" customFormat="false" ht="15" hidden="false" customHeight="false" outlineLevel="0" collapsed="false">
      <c r="A392" s="34"/>
      <c r="B392" s="9"/>
      <c r="C392" s="9"/>
      <c r="D392" s="9"/>
      <c r="E392" s="9"/>
      <c r="F392" s="9"/>
      <c r="G392" s="35"/>
      <c r="H392" s="9"/>
    </row>
    <row r="393" customFormat="false" ht="15" hidden="false" customHeight="false" outlineLevel="0" collapsed="false">
      <c r="A393" s="34"/>
      <c r="B393" s="9"/>
      <c r="C393" s="9"/>
      <c r="D393" s="9"/>
      <c r="E393" s="9"/>
      <c r="F393" s="9"/>
      <c r="G393" s="35"/>
      <c r="H393" s="9"/>
    </row>
    <row r="394" customFormat="false" ht="15" hidden="false" customHeight="false" outlineLevel="0" collapsed="false">
      <c r="A394" s="34"/>
      <c r="B394" s="9"/>
      <c r="C394" s="9"/>
      <c r="D394" s="9"/>
      <c r="E394" s="9"/>
      <c r="F394" s="9"/>
      <c r="G394" s="35"/>
      <c r="H394" s="9"/>
    </row>
    <row r="395" customFormat="false" ht="15" hidden="false" customHeight="false" outlineLevel="0" collapsed="false">
      <c r="A395" s="34"/>
      <c r="B395" s="9"/>
      <c r="C395" s="9"/>
      <c r="D395" s="9"/>
      <c r="E395" s="9"/>
      <c r="F395" s="9"/>
      <c r="G395" s="35"/>
      <c r="H395" s="9"/>
    </row>
    <row r="396" customFormat="false" ht="15" hidden="false" customHeight="false" outlineLevel="0" collapsed="false">
      <c r="A396" s="34"/>
      <c r="B396" s="9"/>
      <c r="C396" s="9"/>
      <c r="D396" s="9"/>
      <c r="E396" s="9"/>
      <c r="F396" s="9"/>
      <c r="G396" s="35"/>
      <c r="H396" s="9"/>
    </row>
    <row r="397" customFormat="false" ht="15" hidden="false" customHeight="false" outlineLevel="0" collapsed="false">
      <c r="A397" s="34"/>
      <c r="B397" s="9"/>
      <c r="C397" s="9"/>
      <c r="D397" s="9"/>
      <c r="E397" s="9"/>
      <c r="F397" s="9"/>
      <c r="G397" s="35"/>
      <c r="H397" s="9"/>
    </row>
    <row r="398" customFormat="false" ht="15" hidden="false" customHeight="false" outlineLevel="0" collapsed="false">
      <c r="A398" s="34"/>
      <c r="B398" s="9"/>
      <c r="C398" s="9"/>
      <c r="D398" s="9"/>
      <c r="E398" s="9"/>
      <c r="F398" s="9"/>
      <c r="G398" s="35"/>
      <c r="H398" s="9"/>
    </row>
    <row r="399" customFormat="false" ht="15" hidden="false" customHeight="false" outlineLevel="0" collapsed="false">
      <c r="A399" s="34"/>
      <c r="B399" s="9"/>
      <c r="C399" s="9"/>
      <c r="D399" s="9"/>
      <c r="E399" s="9"/>
      <c r="F399" s="9"/>
      <c r="G399" s="35"/>
      <c r="H399" s="9"/>
    </row>
    <row r="400" customFormat="false" ht="15" hidden="false" customHeight="false" outlineLevel="0" collapsed="false">
      <c r="A400" s="34"/>
      <c r="B400" s="9"/>
      <c r="C400" s="9"/>
      <c r="D400" s="9"/>
      <c r="E400" s="9"/>
      <c r="F400" s="9"/>
      <c r="G400" s="35"/>
      <c r="H400" s="9"/>
    </row>
    <row r="401" customFormat="false" ht="15" hidden="false" customHeight="false" outlineLevel="0" collapsed="false">
      <c r="A401" s="34"/>
      <c r="B401" s="9"/>
      <c r="C401" s="9"/>
      <c r="D401" s="9"/>
      <c r="E401" s="9"/>
      <c r="F401" s="9"/>
      <c r="G401" s="35"/>
      <c r="H401" s="9"/>
    </row>
    <row r="402" customFormat="false" ht="15" hidden="false" customHeight="false" outlineLevel="0" collapsed="false">
      <c r="A402" s="34"/>
      <c r="B402" s="9"/>
      <c r="C402" s="9"/>
      <c r="D402" s="9"/>
      <c r="E402" s="9"/>
      <c r="F402" s="9"/>
      <c r="G402" s="35"/>
      <c r="H402" s="9"/>
    </row>
    <row r="403" customFormat="false" ht="15" hidden="false" customHeight="false" outlineLevel="0" collapsed="false">
      <c r="A403" s="34"/>
      <c r="B403" s="9"/>
      <c r="C403" s="9"/>
      <c r="D403" s="9"/>
      <c r="E403" s="9"/>
      <c r="F403" s="9"/>
      <c r="G403" s="35"/>
      <c r="H403" s="9"/>
    </row>
    <row r="404" customFormat="false" ht="15" hidden="false" customHeight="false" outlineLevel="0" collapsed="false">
      <c r="A404" s="34"/>
      <c r="B404" s="9"/>
      <c r="C404" s="9"/>
      <c r="D404" s="9"/>
      <c r="E404" s="9"/>
      <c r="F404" s="9"/>
      <c r="G404" s="35"/>
      <c r="H404" s="9"/>
    </row>
    <row r="405" customFormat="false" ht="15" hidden="false" customHeight="false" outlineLevel="0" collapsed="false">
      <c r="A405" s="34"/>
      <c r="B405" s="9"/>
      <c r="C405" s="9"/>
      <c r="D405" s="9"/>
      <c r="E405" s="9"/>
      <c r="F405" s="9"/>
      <c r="G405" s="35"/>
      <c r="H405" s="9"/>
    </row>
    <row r="406" customFormat="false" ht="15" hidden="false" customHeight="false" outlineLevel="0" collapsed="false">
      <c r="A406" s="34"/>
      <c r="B406" s="9"/>
      <c r="C406" s="9"/>
      <c r="D406" s="9"/>
      <c r="E406" s="9"/>
      <c r="F406" s="9"/>
      <c r="G406" s="35"/>
      <c r="H406" s="9"/>
    </row>
    <row r="407" customFormat="false" ht="15" hidden="false" customHeight="false" outlineLevel="0" collapsed="false">
      <c r="A407" s="34"/>
      <c r="B407" s="9"/>
      <c r="C407" s="9"/>
      <c r="D407" s="9"/>
      <c r="E407" s="9"/>
      <c r="F407" s="9"/>
      <c r="G407" s="35"/>
      <c r="H407" s="9"/>
    </row>
    <row r="408" customFormat="false" ht="15" hidden="false" customHeight="false" outlineLevel="0" collapsed="false">
      <c r="A408" s="34"/>
      <c r="B408" s="9"/>
      <c r="C408" s="9"/>
      <c r="D408" s="9"/>
      <c r="E408" s="9"/>
      <c r="F408" s="9"/>
      <c r="G408" s="35"/>
      <c r="H408" s="9"/>
    </row>
    <row r="409" customFormat="false" ht="15" hidden="false" customHeight="false" outlineLevel="0" collapsed="false">
      <c r="A409" s="34"/>
      <c r="B409" s="9"/>
      <c r="C409" s="9"/>
      <c r="D409" s="9"/>
      <c r="E409" s="9"/>
      <c r="F409" s="9"/>
      <c r="G409" s="35"/>
      <c r="H409" s="9"/>
    </row>
    <row r="410" customFormat="false" ht="15" hidden="false" customHeight="false" outlineLevel="0" collapsed="false">
      <c r="A410" s="34"/>
      <c r="B410" s="9"/>
      <c r="C410" s="9"/>
      <c r="D410" s="9"/>
      <c r="E410" s="9"/>
      <c r="F410" s="9"/>
      <c r="G410" s="35"/>
      <c r="H410" s="9"/>
    </row>
    <row r="411" customFormat="false" ht="15" hidden="false" customHeight="false" outlineLevel="0" collapsed="false">
      <c r="A411" s="34"/>
      <c r="B411" s="9"/>
      <c r="C411" s="9"/>
      <c r="D411" s="9"/>
      <c r="E411" s="9"/>
      <c r="F411" s="9"/>
      <c r="G411" s="35"/>
      <c r="H411" s="9"/>
    </row>
    <row r="412" customFormat="false" ht="15" hidden="false" customHeight="false" outlineLevel="0" collapsed="false">
      <c r="A412" s="34"/>
      <c r="B412" s="9"/>
      <c r="C412" s="9"/>
      <c r="D412" s="9"/>
      <c r="E412" s="9"/>
      <c r="F412" s="9"/>
      <c r="G412" s="35"/>
      <c r="H412" s="9"/>
    </row>
    <row r="413" customFormat="false" ht="15" hidden="false" customHeight="false" outlineLevel="0" collapsed="false">
      <c r="A413" s="34"/>
      <c r="B413" s="9"/>
      <c r="C413" s="9"/>
      <c r="D413" s="9"/>
      <c r="E413" s="9"/>
      <c r="F413" s="9"/>
      <c r="G413" s="35"/>
      <c r="H413" s="9"/>
    </row>
    <row r="414" customFormat="false" ht="15" hidden="false" customHeight="false" outlineLevel="0" collapsed="false">
      <c r="A414" s="34"/>
      <c r="B414" s="9"/>
      <c r="C414" s="9"/>
      <c r="D414" s="9"/>
      <c r="E414" s="9"/>
      <c r="F414" s="9"/>
      <c r="G414" s="35"/>
      <c r="H414" s="9"/>
    </row>
    <row r="415" customFormat="false" ht="15" hidden="false" customHeight="false" outlineLevel="0" collapsed="false">
      <c r="A415" s="34"/>
      <c r="B415" s="9"/>
      <c r="C415" s="9"/>
      <c r="D415" s="9"/>
      <c r="E415" s="9"/>
      <c r="F415" s="9"/>
      <c r="G415" s="35"/>
      <c r="H415" s="9"/>
    </row>
    <row r="416" customFormat="false" ht="15" hidden="false" customHeight="false" outlineLevel="0" collapsed="false">
      <c r="A416" s="34"/>
      <c r="B416" s="9"/>
      <c r="C416" s="9"/>
      <c r="D416" s="9"/>
      <c r="E416" s="9"/>
      <c r="F416" s="9"/>
      <c r="G416" s="35"/>
      <c r="H416" s="9"/>
    </row>
    <row r="417" customFormat="false" ht="15" hidden="false" customHeight="false" outlineLevel="0" collapsed="false">
      <c r="A417" s="34"/>
      <c r="B417" s="9"/>
      <c r="C417" s="9"/>
      <c r="D417" s="9"/>
      <c r="E417" s="9"/>
      <c r="F417" s="9"/>
      <c r="G417" s="35"/>
      <c r="H417" s="9"/>
    </row>
    <row r="418" customFormat="false" ht="15" hidden="false" customHeight="false" outlineLevel="0" collapsed="false">
      <c r="A418" s="34"/>
      <c r="B418" s="9"/>
      <c r="C418" s="9"/>
      <c r="D418" s="9"/>
      <c r="E418" s="9"/>
      <c r="F418" s="9"/>
      <c r="G418" s="35"/>
      <c r="H418" s="9"/>
    </row>
    <row r="419" customFormat="false" ht="15" hidden="false" customHeight="false" outlineLevel="0" collapsed="false">
      <c r="A419" s="34"/>
      <c r="B419" s="9"/>
      <c r="C419" s="9"/>
      <c r="D419" s="9"/>
      <c r="E419" s="9"/>
      <c r="F419" s="9"/>
      <c r="G419" s="35"/>
      <c r="H419" s="9"/>
    </row>
    <row r="420" customFormat="false" ht="15" hidden="false" customHeight="false" outlineLevel="0" collapsed="false">
      <c r="A420" s="34"/>
      <c r="B420" s="9"/>
      <c r="C420" s="9"/>
      <c r="D420" s="9"/>
      <c r="E420" s="9"/>
      <c r="F420" s="9"/>
      <c r="G420" s="35"/>
      <c r="H420" s="9"/>
    </row>
    <row r="421" customFormat="false" ht="15" hidden="false" customHeight="false" outlineLevel="0" collapsed="false">
      <c r="A421" s="34"/>
      <c r="B421" s="9"/>
      <c r="C421" s="9"/>
      <c r="D421" s="9"/>
      <c r="E421" s="9"/>
      <c r="F421" s="9"/>
      <c r="G421" s="35"/>
      <c r="H421" s="9"/>
    </row>
    <row r="422" customFormat="false" ht="15" hidden="false" customHeight="false" outlineLevel="0" collapsed="false">
      <c r="A422" s="34"/>
      <c r="B422" s="9"/>
      <c r="C422" s="9"/>
      <c r="D422" s="9"/>
      <c r="E422" s="9"/>
      <c r="F422" s="9"/>
      <c r="G422" s="35"/>
      <c r="H422" s="9"/>
    </row>
    <row r="423" customFormat="false" ht="15" hidden="false" customHeight="false" outlineLevel="0" collapsed="false">
      <c r="A423" s="34"/>
      <c r="B423" s="9"/>
      <c r="C423" s="9"/>
      <c r="D423" s="9"/>
      <c r="E423" s="9"/>
      <c r="F423" s="9"/>
      <c r="G423" s="35"/>
      <c r="H423" s="9"/>
    </row>
    <row r="424" customFormat="false" ht="15" hidden="false" customHeight="false" outlineLevel="0" collapsed="false">
      <c r="A424" s="34"/>
      <c r="B424" s="9"/>
      <c r="C424" s="9"/>
      <c r="D424" s="9"/>
      <c r="E424" s="9"/>
      <c r="F424" s="9"/>
      <c r="G424" s="35"/>
      <c r="H424" s="9"/>
    </row>
    <row r="425" customFormat="false" ht="15" hidden="false" customHeight="false" outlineLevel="0" collapsed="false">
      <c r="A425" s="34"/>
      <c r="B425" s="9"/>
      <c r="C425" s="9"/>
      <c r="D425" s="9"/>
      <c r="E425" s="9"/>
      <c r="F425" s="9"/>
      <c r="G425" s="35"/>
      <c r="H425" s="9"/>
    </row>
    <row r="426" customFormat="false" ht="15" hidden="false" customHeight="false" outlineLevel="0" collapsed="false">
      <c r="A426" s="34"/>
      <c r="B426" s="9"/>
      <c r="C426" s="9"/>
      <c r="D426" s="9"/>
      <c r="E426" s="9"/>
      <c r="F426" s="9"/>
      <c r="G426" s="35"/>
      <c r="H426" s="9"/>
    </row>
    <row r="427" customFormat="false" ht="15" hidden="false" customHeight="false" outlineLevel="0" collapsed="false">
      <c r="A427" s="34"/>
      <c r="B427" s="9"/>
      <c r="C427" s="9"/>
      <c r="D427" s="9"/>
      <c r="E427" s="9"/>
      <c r="F427" s="9"/>
      <c r="G427" s="35"/>
      <c r="H427" s="9"/>
    </row>
    <row r="428" customFormat="false" ht="15" hidden="false" customHeight="false" outlineLevel="0" collapsed="false">
      <c r="A428" s="34"/>
      <c r="B428" s="9"/>
      <c r="C428" s="9"/>
      <c r="D428" s="9"/>
      <c r="E428" s="9"/>
      <c r="F428" s="9"/>
      <c r="G428" s="35"/>
      <c r="H428" s="9"/>
    </row>
    <row r="429" customFormat="false" ht="15" hidden="false" customHeight="false" outlineLevel="0" collapsed="false">
      <c r="A429" s="34"/>
      <c r="B429" s="9"/>
      <c r="C429" s="9"/>
      <c r="D429" s="9"/>
      <c r="E429" s="9"/>
      <c r="F429" s="9"/>
      <c r="G429" s="35"/>
      <c r="H429" s="9"/>
    </row>
    <row r="430" customFormat="false" ht="15" hidden="false" customHeight="false" outlineLevel="0" collapsed="false">
      <c r="A430" s="34"/>
      <c r="B430" s="9"/>
      <c r="C430" s="9"/>
      <c r="D430" s="9"/>
      <c r="E430" s="9"/>
      <c r="F430" s="9"/>
      <c r="G430" s="35"/>
      <c r="H430" s="9"/>
    </row>
    <row r="431" customFormat="false" ht="15" hidden="false" customHeight="false" outlineLevel="0" collapsed="false">
      <c r="A431" s="34"/>
      <c r="B431" s="9"/>
      <c r="C431" s="9"/>
      <c r="D431" s="9"/>
      <c r="E431" s="9"/>
      <c r="F431" s="9"/>
      <c r="G431" s="35"/>
      <c r="H431" s="9"/>
    </row>
    <row r="432" customFormat="false" ht="15" hidden="false" customHeight="false" outlineLevel="0" collapsed="false">
      <c r="A432" s="34"/>
      <c r="B432" s="9"/>
      <c r="C432" s="9"/>
      <c r="D432" s="9"/>
      <c r="E432" s="9"/>
      <c r="F432" s="9"/>
      <c r="G432" s="35"/>
      <c r="H432" s="9"/>
    </row>
    <row r="433" customFormat="false" ht="15" hidden="false" customHeight="false" outlineLevel="0" collapsed="false">
      <c r="A433" s="34"/>
      <c r="B433" s="9"/>
      <c r="C433" s="9"/>
      <c r="D433" s="9"/>
      <c r="E433" s="9"/>
      <c r="F433" s="9"/>
      <c r="G433" s="35"/>
      <c r="H433" s="9"/>
    </row>
    <row r="434" customFormat="false" ht="15" hidden="false" customHeight="false" outlineLevel="0" collapsed="false">
      <c r="A434" s="34"/>
      <c r="B434" s="9"/>
      <c r="C434" s="9"/>
      <c r="D434" s="9"/>
      <c r="E434" s="9"/>
      <c r="F434" s="9"/>
      <c r="G434" s="35"/>
      <c r="H434" s="9"/>
    </row>
    <row r="435" customFormat="false" ht="15" hidden="false" customHeight="false" outlineLevel="0" collapsed="false">
      <c r="A435" s="34"/>
      <c r="B435" s="9"/>
      <c r="C435" s="9"/>
      <c r="D435" s="9"/>
      <c r="E435" s="9"/>
      <c r="F435" s="9"/>
      <c r="G435" s="35"/>
      <c r="H435" s="9"/>
    </row>
    <row r="436" customFormat="false" ht="15" hidden="false" customHeight="false" outlineLevel="0" collapsed="false">
      <c r="A436" s="34"/>
      <c r="B436" s="9"/>
      <c r="C436" s="9"/>
      <c r="D436" s="9"/>
      <c r="E436" s="9"/>
      <c r="F436" s="9"/>
      <c r="G436" s="35"/>
      <c r="H436" s="9"/>
    </row>
    <row r="437" customFormat="false" ht="15" hidden="false" customHeight="false" outlineLevel="0" collapsed="false">
      <c r="A437" s="34"/>
      <c r="B437" s="9"/>
      <c r="C437" s="9"/>
      <c r="D437" s="9"/>
      <c r="E437" s="9"/>
      <c r="F437" s="9"/>
      <c r="G437" s="35"/>
      <c r="H437" s="9"/>
    </row>
    <row r="438" customFormat="false" ht="15" hidden="false" customHeight="false" outlineLevel="0" collapsed="false">
      <c r="A438" s="34"/>
      <c r="B438" s="9"/>
      <c r="C438" s="9"/>
      <c r="D438" s="9"/>
      <c r="E438" s="9"/>
      <c r="F438" s="9"/>
      <c r="G438" s="35"/>
      <c r="H438" s="9"/>
    </row>
    <row r="439" customFormat="false" ht="15" hidden="false" customHeight="false" outlineLevel="0" collapsed="false">
      <c r="A439" s="34"/>
      <c r="B439" s="9"/>
      <c r="C439" s="9"/>
      <c r="D439" s="9"/>
      <c r="E439" s="9"/>
      <c r="F439" s="9"/>
      <c r="G439" s="35"/>
      <c r="H439" s="9"/>
    </row>
    <row r="440" customFormat="false" ht="15" hidden="false" customHeight="false" outlineLevel="0" collapsed="false">
      <c r="A440" s="34"/>
      <c r="B440" s="9"/>
      <c r="C440" s="9"/>
      <c r="D440" s="9"/>
      <c r="E440" s="9"/>
      <c r="F440" s="9"/>
      <c r="G440" s="35"/>
      <c r="H440" s="9"/>
    </row>
    <row r="441" customFormat="false" ht="15" hidden="false" customHeight="false" outlineLevel="0" collapsed="false">
      <c r="A441" s="34"/>
      <c r="B441" s="9"/>
      <c r="C441" s="9"/>
      <c r="D441" s="9"/>
      <c r="E441" s="9"/>
      <c r="F441" s="9"/>
      <c r="G441" s="35"/>
      <c r="H441" s="9"/>
    </row>
    <row r="442" customFormat="false" ht="15" hidden="false" customHeight="false" outlineLevel="0" collapsed="false">
      <c r="A442" s="34"/>
      <c r="B442" s="9"/>
      <c r="C442" s="9"/>
      <c r="D442" s="9"/>
      <c r="E442" s="9"/>
      <c r="F442" s="9"/>
      <c r="G442" s="35"/>
      <c r="H442" s="9"/>
    </row>
    <row r="443" customFormat="false" ht="15" hidden="false" customHeight="false" outlineLevel="0" collapsed="false">
      <c r="A443" s="34"/>
      <c r="B443" s="9"/>
      <c r="C443" s="9"/>
      <c r="D443" s="9"/>
      <c r="E443" s="9"/>
      <c r="F443" s="9"/>
      <c r="G443" s="35"/>
      <c r="H443" s="9"/>
    </row>
    <row r="444" customFormat="false" ht="15" hidden="false" customHeight="false" outlineLevel="0" collapsed="false">
      <c r="A444" s="34"/>
      <c r="B444" s="9"/>
      <c r="C444" s="9"/>
      <c r="D444" s="9"/>
      <c r="E444" s="9"/>
      <c r="F444" s="9"/>
      <c r="G444" s="35"/>
      <c r="H444" s="9"/>
    </row>
    <row r="445" customFormat="false" ht="15" hidden="false" customHeight="false" outlineLevel="0" collapsed="false">
      <c r="A445" s="34"/>
      <c r="B445" s="9"/>
      <c r="C445" s="9"/>
      <c r="D445" s="9"/>
      <c r="E445" s="9"/>
      <c r="F445" s="9"/>
      <c r="G445" s="35"/>
      <c r="H445" s="9"/>
    </row>
    <row r="446" customFormat="false" ht="15" hidden="false" customHeight="false" outlineLevel="0" collapsed="false">
      <c r="A446" s="34"/>
      <c r="B446" s="9"/>
      <c r="C446" s="9"/>
      <c r="D446" s="9"/>
      <c r="E446" s="9"/>
      <c r="F446" s="9"/>
      <c r="G446" s="35"/>
      <c r="H446" s="9"/>
    </row>
    <row r="447" customFormat="false" ht="15" hidden="false" customHeight="false" outlineLevel="0" collapsed="false">
      <c r="A447" s="34"/>
      <c r="B447" s="9"/>
      <c r="C447" s="9"/>
      <c r="D447" s="9"/>
      <c r="E447" s="9"/>
      <c r="F447" s="9"/>
      <c r="G447" s="35"/>
      <c r="H447" s="9"/>
    </row>
    <row r="448" customFormat="false" ht="15" hidden="false" customHeight="false" outlineLevel="0" collapsed="false">
      <c r="A448" s="34"/>
      <c r="B448" s="9"/>
      <c r="C448" s="9"/>
      <c r="D448" s="9"/>
      <c r="E448" s="9"/>
      <c r="F448" s="9"/>
      <c r="G448" s="35"/>
      <c r="H448" s="9"/>
    </row>
    <row r="449" customFormat="false" ht="15" hidden="false" customHeight="false" outlineLevel="0" collapsed="false">
      <c r="A449" s="34"/>
      <c r="B449" s="9"/>
      <c r="C449" s="9"/>
      <c r="D449" s="9"/>
      <c r="E449" s="9"/>
      <c r="F449" s="9"/>
      <c r="G449" s="35"/>
      <c r="H449" s="9"/>
    </row>
    <row r="450" customFormat="false" ht="15" hidden="false" customHeight="false" outlineLevel="0" collapsed="false">
      <c r="A450" s="34"/>
      <c r="B450" s="9"/>
      <c r="C450" s="9"/>
      <c r="D450" s="9"/>
      <c r="E450" s="9"/>
      <c r="F450" s="9"/>
      <c r="G450" s="35"/>
      <c r="H450" s="9"/>
    </row>
    <row r="451" customFormat="false" ht="15" hidden="false" customHeight="false" outlineLevel="0" collapsed="false">
      <c r="A451" s="34"/>
      <c r="B451" s="9"/>
      <c r="C451" s="9"/>
      <c r="D451" s="9"/>
      <c r="E451" s="9"/>
      <c r="F451" s="9"/>
      <c r="G451" s="35"/>
      <c r="H451" s="9"/>
    </row>
    <row r="452" customFormat="false" ht="15" hidden="false" customHeight="false" outlineLevel="0" collapsed="false">
      <c r="A452" s="34"/>
      <c r="B452" s="9"/>
      <c r="C452" s="9"/>
      <c r="D452" s="9"/>
      <c r="E452" s="9"/>
      <c r="F452" s="9"/>
      <c r="G452" s="35"/>
      <c r="H452" s="9"/>
    </row>
    <row r="453" customFormat="false" ht="15" hidden="false" customHeight="false" outlineLevel="0" collapsed="false">
      <c r="A453" s="34"/>
      <c r="B453" s="9"/>
      <c r="C453" s="9"/>
      <c r="D453" s="9"/>
      <c r="E453" s="9"/>
      <c r="F453" s="9"/>
      <c r="G453" s="35"/>
      <c r="H453" s="9"/>
    </row>
    <row r="454" customFormat="false" ht="15" hidden="false" customHeight="false" outlineLevel="0" collapsed="false">
      <c r="A454" s="34"/>
      <c r="B454" s="9"/>
      <c r="C454" s="9"/>
      <c r="D454" s="9"/>
      <c r="E454" s="9"/>
      <c r="F454" s="9"/>
      <c r="G454" s="35"/>
      <c r="H454" s="9"/>
    </row>
    <row r="455" customFormat="false" ht="15" hidden="false" customHeight="false" outlineLevel="0" collapsed="false">
      <c r="A455" s="34"/>
      <c r="B455" s="9"/>
      <c r="C455" s="9"/>
      <c r="D455" s="9"/>
      <c r="E455" s="9"/>
      <c r="F455" s="9"/>
      <c r="G455" s="35"/>
      <c r="H455" s="9"/>
    </row>
    <row r="456" customFormat="false" ht="15" hidden="false" customHeight="false" outlineLevel="0" collapsed="false">
      <c r="A456" s="34"/>
      <c r="B456" s="9"/>
      <c r="C456" s="9"/>
      <c r="D456" s="9"/>
      <c r="E456" s="9"/>
      <c r="F456" s="9"/>
      <c r="G456" s="35"/>
      <c r="H456" s="9"/>
    </row>
    <row r="457" customFormat="false" ht="15" hidden="false" customHeight="false" outlineLevel="0" collapsed="false">
      <c r="A457" s="34"/>
      <c r="B457" s="9"/>
      <c r="C457" s="9"/>
      <c r="D457" s="9"/>
      <c r="E457" s="9"/>
      <c r="F457" s="9"/>
      <c r="G457" s="35"/>
      <c r="H457" s="9"/>
    </row>
    <row r="458" customFormat="false" ht="15" hidden="false" customHeight="false" outlineLevel="0" collapsed="false">
      <c r="A458" s="34"/>
      <c r="B458" s="9"/>
      <c r="C458" s="9"/>
      <c r="D458" s="9"/>
      <c r="E458" s="9"/>
      <c r="F458" s="9"/>
      <c r="G458" s="35"/>
      <c r="H458" s="9"/>
    </row>
    <row r="459" customFormat="false" ht="15" hidden="false" customHeight="false" outlineLevel="0" collapsed="false">
      <c r="A459" s="34"/>
      <c r="B459" s="9"/>
      <c r="C459" s="9"/>
      <c r="D459" s="9"/>
      <c r="E459" s="9"/>
      <c r="F459" s="9"/>
      <c r="G459" s="35"/>
      <c r="H459" s="9"/>
    </row>
    <row r="460" customFormat="false" ht="15" hidden="false" customHeight="false" outlineLevel="0" collapsed="false">
      <c r="A460" s="34"/>
      <c r="B460" s="9"/>
      <c r="C460" s="9"/>
      <c r="D460" s="9"/>
      <c r="E460" s="9"/>
      <c r="F460" s="9"/>
      <c r="G460" s="35"/>
      <c r="H460" s="9"/>
    </row>
    <row r="461" customFormat="false" ht="15" hidden="false" customHeight="false" outlineLevel="0" collapsed="false">
      <c r="A461" s="34"/>
      <c r="B461" s="9"/>
      <c r="C461" s="9"/>
      <c r="D461" s="9"/>
      <c r="E461" s="9"/>
      <c r="F461" s="9"/>
      <c r="G461" s="35"/>
      <c r="H461" s="9"/>
    </row>
    <row r="462" customFormat="false" ht="15" hidden="false" customHeight="false" outlineLevel="0" collapsed="false">
      <c r="A462" s="34"/>
      <c r="B462" s="9"/>
      <c r="C462" s="9"/>
      <c r="D462" s="9"/>
      <c r="E462" s="9"/>
      <c r="F462" s="9"/>
      <c r="G462" s="35"/>
      <c r="H462" s="9"/>
    </row>
    <row r="463" customFormat="false" ht="15" hidden="false" customHeight="false" outlineLevel="0" collapsed="false">
      <c r="A463" s="34"/>
      <c r="B463" s="9"/>
      <c r="C463" s="9"/>
      <c r="D463" s="9"/>
      <c r="E463" s="9"/>
      <c r="F463" s="9"/>
      <c r="G463" s="35"/>
      <c r="H463" s="9"/>
    </row>
    <row r="464" customFormat="false" ht="15" hidden="false" customHeight="false" outlineLevel="0" collapsed="false">
      <c r="A464" s="34"/>
      <c r="B464" s="9"/>
      <c r="C464" s="9"/>
      <c r="D464" s="9"/>
      <c r="E464" s="9"/>
      <c r="F464" s="9"/>
      <c r="G464" s="35"/>
      <c r="H464" s="9"/>
    </row>
    <row r="465" customFormat="false" ht="15" hidden="false" customHeight="false" outlineLevel="0" collapsed="false">
      <c r="A465" s="34"/>
      <c r="B465" s="9"/>
      <c r="C465" s="9"/>
      <c r="D465" s="9"/>
      <c r="E465" s="9"/>
      <c r="F465" s="9"/>
      <c r="G465" s="35"/>
      <c r="H465" s="9"/>
    </row>
    <row r="466" customFormat="false" ht="15" hidden="false" customHeight="false" outlineLevel="0" collapsed="false">
      <c r="A466" s="34"/>
      <c r="B466" s="9"/>
      <c r="C466" s="9"/>
      <c r="D466" s="9"/>
      <c r="E466" s="9"/>
      <c r="F466" s="9"/>
      <c r="G466" s="35"/>
      <c r="H466" s="9"/>
    </row>
    <row r="467" customFormat="false" ht="15" hidden="false" customHeight="false" outlineLevel="0" collapsed="false">
      <c r="A467" s="34"/>
      <c r="B467" s="9"/>
      <c r="C467" s="9"/>
      <c r="D467" s="9"/>
      <c r="E467" s="9"/>
      <c r="F467" s="9"/>
      <c r="G467" s="35"/>
      <c r="H467" s="9"/>
    </row>
    <row r="468" customFormat="false" ht="15" hidden="false" customHeight="false" outlineLevel="0" collapsed="false">
      <c r="A468" s="34"/>
      <c r="B468" s="9"/>
      <c r="C468" s="9"/>
      <c r="D468" s="9"/>
      <c r="E468" s="9"/>
      <c r="F468" s="9"/>
      <c r="G468" s="35"/>
      <c r="H468" s="9"/>
    </row>
    <row r="469" customFormat="false" ht="15" hidden="false" customHeight="false" outlineLevel="0" collapsed="false">
      <c r="A469" s="34"/>
      <c r="B469" s="9"/>
      <c r="C469" s="9"/>
      <c r="D469" s="9"/>
      <c r="E469" s="9"/>
      <c r="F469" s="9"/>
      <c r="G469" s="35"/>
      <c r="H469" s="9"/>
    </row>
    <row r="470" customFormat="false" ht="15" hidden="false" customHeight="false" outlineLevel="0" collapsed="false">
      <c r="A470" s="34"/>
      <c r="B470" s="9"/>
      <c r="C470" s="9"/>
      <c r="D470" s="9"/>
      <c r="E470" s="9"/>
      <c r="F470" s="9"/>
      <c r="G470" s="35"/>
      <c r="H470" s="9"/>
    </row>
    <row r="471" customFormat="false" ht="15" hidden="false" customHeight="false" outlineLevel="0" collapsed="false">
      <c r="A471" s="34"/>
      <c r="B471" s="9"/>
      <c r="C471" s="9"/>
      <c r="D471" s="9"/>
      <c r="E471" s="9"/>
      <c r="F471" s="9"/>
      <c r="G471" s="35"/>
      <c r="H471" s="9"/>
    </row>
    <row r="472" customFormat="false" ht="15" hidden="false" customHeight="false" outlineLevel="0" collapsed="false">
      <c r="A472" s="34"/>
      <c r="B472" s="9"/>
      <c r="C472" s="9"/>
      <c r="D472" s="9"/>
      <c r="E472" s="9"/>
      <c r="F472" s="9"/>
      <c r="G472" s="35"/>
      <c r="H472" s="9"/>
    </row>
    <row r="473" customFormat="false" ht="15" hidden="false" customHeight="false" outlineLevel="0" collapsed="false">
      <c r="A473" s="34"/>
      <c r="B473" s="9"/>
      <c r="C473" s="9"/>
      <c r="D473" s="9"/>
      <c r="E473" s="9"/>
      <c r="F473" s="9"/>
      <c r="G473" s="35"/>
      <c r="H473" s="9"/>
    </row>
    <row r="474" customFormat="false" ht="15" hidden="false" customHeight="false" outlineLevel="0" collapsed="false">
      <c r="A474" s="34"/>
      <c r="B474" s="9"/>
      <c r="C474" s="9"/>
      <c r="D474" s="9"/>
      <c r="E474" s="9"/>
      <c r="F474" s="9"/>
      <c r="G474" s="35"/>
      <c r="H474" s="9"/>
    </row>
    <row r="475" customFormat="false" ht="15" hidden="false" customHeight="false" outlineLevel="0" collapsed="false">
      <c r="A475" s="34"/>
      <c r="B475" s="9"/>
      <c r="C475" s="9"/>
      <c r="D475" s="9"/>
      <c r="E475" s="9"/>
      <c r="F475" s="9"/>
      <c r="G475" s="35"/>
      <c r="H475" s="9"/>
    </row>
    <row r="476" customFormat="false" ht="15" hidden="false" customHeight="false" outlineLevel="0" collapsed="false">
      <c r="A476" s="34"/>
      <c r="B476" s="9"/>
      <c r="C476" s="9"/>
      <c r="D476" s="9"/>
      <c r="E476" s="9"/>
      <c r="F476" s="9"/>
      <c r="G476" s="35"/>
      <c r="H476" s="9"/>
    </row>
    <row r="477" customFormat="false" ht="15" hidden="false" customHeight="false" outlineLevel="0" collapsed="false">
      <c r="A477" s="34"/>
      <c r="B477" s="9"/>
      <c r="C477" s="9"/>
      <c r="D477" s="9"/>
      <c r="E477" s="9"/>
      <c r="F477" s="9"/>
      <c r="G477" s="35"/>
      <c r="H477" s="9"/>
    </row>
    <row r="478" customFormat="false" ht="15" hidden="false" customHeight="false" outlineLevel="0" collapsed="false">
      <c r="A478" s="34"/>
      <c r="B478" s="9"/>
      <c r="C478" s="9"/>
      <c r="D478" s="9"/>
      <c r="E478" s="9"/>
      <c r="F478" s="9"/>
      <c r="G478" s="35"/>
      <c r="H478" s="9"/>
    </row>
    <row r="479" customFormat="false" ht="15" hidden="false" customHeight="false" outlineLevel="0" collapsed="false">
      <c r="A479" s="34"/>
      <c r="B479" s="9"/>
      <c r="C479" s="9"/>
      <c r="D479" s="9"/>
      <c r="E479" s="9"/>
      <c r="F479" s="9"/>
      <c r="G479" s="35"/>
      <c r="H479" s="9"/>
    </row>
    <row r="480" customFormat="false" ht="15" hidden="false" customHeight="false" outlineLevel="0" collapsed="false">
      <c r="A480" s="34"/>
      <c r="B480" s="9"/>
      <c r="C480" s="9"/>
      <c r="D480" s="9"/>
      <c r="E480" s="9"/>
      <c r="F480" s="9"/>
      <c r="G480" s="35"/>
      <c r="H480" s="9"/>
    </row>
    <row r="481" customFormat="false" ht="15" hidden="false" customHeight="false" outlineLevel="0" collapsed="false">
      <c r="A481" s="34"/>
      <c r="B481" s="9"/>
      <c r="C481" s="9"/>
      <c r="D481" s="9"/>
      <c r="E481" s="9"/>
      <c r="F481" s="9"/>
      <c r="G481" s="35"/>
      <c r="H481" s="9"/>
    </row>
    <row r="482" customFormat="false" ht="15" hidden="false" customHeight="false" outlineLevel="0" collapsed="false">
      <c r="A482" s="34"/>
      <c r="B482" s="9"/>
      <c r="C482" s="9"/>
      <c r="D482" s="9"/>
      <c r="E482" s="9"/>
      <c r="F482" s="9"/>
      <c r="G482" s="35"/>
      <c r="H482" s="9"/>
    </row>
    <row r="483" customFormat="false" ht="15" hidden="false" customHeight="false" outlineLevel="0" collapsed="false">
      <c r="A483" s="34"/>
      <c r="B483" s="9"/>
      <c r="C483" s="9"/>
      <c r="D483" s="9"/>
      <c r="E483" s="9"/>
      <c r="F483" s="9"/>
      <c r="G483" s="35"/>
      <c r="H483" s="9"/>
    </row>
    <row r="484" customFormat="false" ht="15" hidden="false" customHeight="false" outlineLevel="0" collapsed="false">
      <c r="A484" s="34"/>
      <c r="B484" s="9"/>
      <c r="C484" s="9"/>
      <c r="D484" s="9"/>
      <c r="E484" s="9"/>
      <c r="F484" s="9"/>
      <c r="G484" s="35"/>
      <c r="H484" s="9"/>
    </row>
    <row r="485" customFormat="false" ht="15" hidden="false" customHeight="false" outlineLevel="0" collapsed="false">
      <c r="A485" s="34"/>
      <c r="B485" s="9"/>
      <c r="C485" s="9"/>
      <c r="D485" s="9"/>
      <c r="E485" s="9"/>
      <c r="F485" s="9"/>
      <c r="G485" s="35"/>
      <c r="H485" s="9"/>
    </row>
    <row r="486" customFormat="false" ht="15" hidden="false" customHeight="false" outlineLevel="0" collapsed="false">
      <c r="A486" s="34"/>
      <c r="B486" s="9"/>
      <c r="C486" s="9"/>
      <c r="D486" s="9"/>
      <c r="E486" s="9"/>
      <c r="F486" s="9"/>
      <c r="G486" s="35"/>
      <c r="H486" s="9"/>
    </row>
    <row r="487" customFormat="false" ht="15" hidden="false" customHeight="false" outlineLevel="0" collapsed="false">
      <c r="A487" s="34"/>
      <c r="B487" s="9"/>
      <c r="C487" s="9"/>
      <c r="D487" s="9"/>
      <c r="E487" s="9"/>
      <c r="F487" s="9"/>
      <c r="G487" s="35"/>
      <c r="H487" s="9"/>
    </row>
    <row r="488" customFormat="false" ht="15" hidden="false" customHeight="false" outlineLevel="0" collapsed="false">
      <c r="A488" s="34"/>
      <c r="B488" s="9"/>
      <c r="C488" s="9"/>
      <c r="D488" s="9"/>
      <c r="E488" s="9"/>
      <c r="F488" s="9"/>
      <c r="G488" s="35"/>
      <c r="H488" s="9"/>
    </row>
    <row r="489" customFormat="false" ht="15" hidden="false" customHeight="false" outlineLevel="0" collapsed="false">
      <c r="A489" s="34"/>
      <c r="B489" s="9"/>
      <c r="C489" s="9"/>
      <c r="D489" s="9"/>
      <c r="E489" s="9"/>
      <c r="F489" s="9"/>
      <c r="G489" s="35"/>
      <c r="H489" s="9"/>
    </row>
    <row r="490" customFormat="false" ht="15" hidden="false" customHeight="false" outlineLevel="0" collapsed="false">
      <c r="A490" s="34"/>
      <c r="B490" s="9"/>
      <c r="C490" s="9"/>
      <c r="D490" s="9"/>
      <c r="E490" s="9"/>
      <c r="F490" s="9"/>
      <c r="G490" s="35"/>
      <c r="H490" s="9"/>
    </row>
    <row r="491" customFormat="false" ht="15" hidden="false" customHeight="false" outlineLevel="0" collapsed="false">
      <c r="A491" s="34"/>
      <c r="B491" s="9"/>
      <c r="C491" s="9"/>
      <c r="D491" s="9"/>
      <c r="E491" s="9"/>
      <c r="F491" s="9"/>
      <c r="G491" s="35"/>
      <c r="H491" s="9"/>
    </row>
    <row r="492" customFormat="false" ht="15" hidden="false" customHeight="false" outlineLevel="0" collapsed="false">
      <c r="A492" s="34"/>
      <c r="B492" s="9"/>
      <c r="C492" s="9"/>
      <c r="D492" s="9"/>
      <c r="E492" s="9"/>
      <c r="F492" s="9"/>
      <c r="G492" s="35"/>
      <c r="H492" s="9"/>
    </row>
    <row r="493" customFormat="false" ht="15" hidden="false" customHeight="false" outlineLevel="0" collapsed="false">
      <c r="A493" s="34"/>
      <c r="B493" s="9"/>
      <c r="C493" s="9"/>
      <c r="D493" s="9"/>
      <c r="E493" s="9"/>
      <c r="F493" s="9"/>
      <c r="G493" s="35"/>
      <c r="H493" s="9"/>
    </row>
    <row r="494" customFormat="false" ht="15" hidden="false" customHeight="false" outlineLevel="0" collapsed="false">
      <c r="A494" s="34"/>
      <c r="B494" s="9"/>
      <c r="C494" s="9"/>
      <c r="D494" s="9"/>
      <c r="E494" s="9"/>
      <c r="F494" s="9"/>
      <c r="G494" s="35"/>
      <c r="H494" s="9"/>
    </row>
    <row r="495" customFormat="false" ht="15" hidden="false" customHeight="false" outlineLevel="0" collapsed="false">
      <c r="A495" s="34"/>
      <c r="B495" s="9"/>
      <c r="C495" s="9"/>
      <c r="D495" s="9"/>
      <c r="E495" s="9"/>
      <c r="F495" s="9"/>
      <c r="G495" s="35"/>
      <c r="H495" s="9"/>
    </row>
    <row r="496" customFormat="false" ht="15" hidden="false" customHeight="false" outlineLevel="0" collapsed="false">
      <c r="A496" s="34"/>
      <c r="B496" s="9"/>
      <c r="C496" s="9"/>
      <c r="D496" s="9"/>
      <c r="E496" s="9"/>
      <c r="F496" s="9"/>
      <c r="G496" s="35"/>
      <c r="H496" s="9"/>
    </row>
    <row r="497" customFormat="false" ht="15" hidden="false" customHeight="false" outlineLevel="0" collapsed="false">
      <c r="A497" s="34"/>
      <c r="B497" s="9"/>
      <c r="C497" s="9"/>
      <c r="D497" s="9"/>
      <c r="E497" s="9"/>
      <c r="F497" s="9"/>
      <c r="G497" s="35"/>
      <c r="H497" s="9"/>
    </row>
    <row r="498" customFormat="false" ht="15" hidden="false" customHeight="false" outlineLevel="0" collapsed="false">
      <c r="A498" s="34"/>
      <c r="B498" s="9"/>
      <c r="C498" s="9"/>
      <c r="D498" s="9"/>
      <c r="E498" s="9"/>
      <c r="F498" s="9"/>
      <c r="G498" s="35"/>
      <c r="H498" s="9"/>
    </row>
    <row r="499" customFormat="false" ht="15" hidden="false" customHeight="false" outlineLevel="0" collapsed="false">
      <c r="A499" s="34"/>
      <c r="B499" s="9"/>
      <c r="C499" s="9"/>
      <c r="D499" s="9"/>
      <c r="E499" s="9"/>
      <c r="F499" s="9"/>
      <c r="G499" s="35"/>
      <c r="H499" s="9"/>
    </row>
    <row r="500" customFormat="false" ht="15" hidden="false" customHeight="false" outlineLevel="0" collapsed="false">
      <c r="A500" s="34"/>
      <c r="B500" s="9"/>
      <c r="C500" s="9"/>
      <c r="D500" s="9"/>
      <c r="E500" s="9"/>
      <c r="F500" s="9"/>
      <c r="G500" s="35"/>
      <c r="H500" s="9"/>
    </row>
    <row r="501" customFormat="false" ht="15" hidden="false" customHeight="false" outlineLevel="0" collapsed="false">
      <c r="A501" s="34"/>
      <c r="B501" s="9"/>
      <c r="C501" s="9"/>
      <c r="D501" s="9"/>
      <c r="E501" s="9"/>
      <c r="F501" s="9"/>
      <c r="G501" s="35"/>
      <c r="H501" s="9"/>
    </row>
    <row r="502" customFormat="false" ht="15" hidden="false" customHeight="false" outlineLevel="0" collapsed="false">
      <c r="A502" s="34"/>
      <c r="B502" s="9"/>
      <c r="C502" s="9"/>
      <c r="D502" s="9"/>
      <c r="E502" s="9"/>
      <c r="F502" s="9"/>
      <c r="G502" s="35"/>
      <c r="H502" s="9"/>
    </row>
    <row r="503" customFormat="false" ht="15" hidden="false" customHeight="false" outlineLevel="0" collapsed="false">
      <c r="A503" s="34"/>
      <c r="B503" s="9"/>
      <c r="C503" s="9"/>
      <c r="D503" s="9"/>
      <c r="E503" s="9"/>
      <c r="F503" s="9"/>
      <c r="G503" s="35"/>
      <c r="H503" s="9"/>
    </row>
    <row r="504" customFormat="false" ht="15" hidden="false" customHeight="false" outlineLevel="0" collapsed="false">
      <c r="A504" s="34"/>
      <c r="B504" s="9"/>
      <c r="C504" s="9"/>
      <c r="D504" s="9"/>
      <c r="E504" s="9"/>
      <c r="F504" s="9"/>
      <c r="G504" s="35"/>
      <c r="H504" s="9"/>
    </row>
    <row r="505" customFormat="false" ht="15" hidden="false" customHeight="false" outlineLevel="0" collapsed="false">
      <c r="A505" s="34"/>
      <c r="B505" s="9"/>
      <c r="C505" s="9"/>
      <c r="D505" s="9"/>
      <c r="E505" s="9"/>
      <c r="F505" s="9"/>
      <c r="G505" s="35"/>
      <c r="H505" s="9"/>
    </row>
    <row r="506" customFormat="false" ht="15" hidden="false" customHeight="false" outlineLevel="0" collapsed="false">
      <c r="A506" s="34"/>
      <c r="B506" s="9"/>
      <c r="C506" s="9"/>
      <c r="D506" s="9"/>
      <c r="E506" s="9"/>
      <c r="F506" s="9"/>
      <c r="G506" s="35"/>
      <c r="H506" s="9"/>
    </row>
    <row r="507" customFormat="false" ht="15" hidden="false" customHeight="false" outlineLevel="0" collapsed="false">
      <c r="A507" s="34"/>
      <c r="B507" s="9"/>
      <c r="C507" s="9"/>
      <c r="D507" s="9"/>
      <c r="E507" s="9"/>
      <c r="F507" s="9"/>
      <c r="G507" s="35"/>
      <c r="H507" s="9"/>
    </row>
    <row r="508" customFormat="false" ht="15" hidden="false" customHeight="false" outlineLevel="0" collapsed="false">
      <c r="A508" s="34"/>
      <c r="B508" s="9"/>
      <c r="C508" s="9"/>
      <c r="D508" s="9"/>
      <c r="E508" s="9"/>
      <c r="F508" s="9"/>
      <c r="G508" s="35"/>
      <c r="H508" s="9"/>
    </row>
    <row r="509" customFormat="false" ht="15" hidden="false" customHeight="false" outlineLevel="0" collapsed="false">
      <c r="A509" s="34"/>
      <c r="B509" s="9"/>
      <c r="C509" s="9"/>
      <c r="D509" s="9"/>
      <c r="E509" s="9"/>
      <c r="F509" s="9"/>
      <c r="G509" s="35"/>
      <c r="H509" s="9"/>
    </row>
    <row r="510" customFormat="false" ht="15" hidden="false" customHeight="false" outlineLevel="0" collapsed="false">
      <c r="A510" s="34"/>
      <c r="B510" s="9"/>
      <c r="C510" s="9"/>
      <c r="D510" s="9"/>
      <c r="E510" s="9"/>
      <c r="F510" s="9"/>
      <c r="G510" s="35"/>
      <c r="H510" s="9"/>
    </row>
    <row r="511" customFormat="false" ht="15" hidden="false" customHeight="false" outlineLevel="0" collapsed="false">
      <c r="A511" s="34"/>
      <c r="B511" s="9"/>
      <c r="C511" s="9"/>
      <c r="D511" s="9"/>
      <c r="E511" s="9"/>
      <c r="F511" s="9"/>
      <c r="G511" s="35"/>
      <c r="H511" s="9"/>
    </row>
    <row r="512" customFormat="false" ht="15" hidden="false" customHeight="false" outlineLevel="0" collapsed="false">
      <c r="A512" s="34"/>
      <c r="B512" s="9"/>
      <c r="C512" s="9"/>
      <c r="D512" s="9"/>
      <c r="E512" s="9"/>
      <c r="F512" s="9"/>
      <c r="G512" s="35"/>
      <c r="H512" s="9"/>
    </row>
    <row r="513" customFormat="false" ht="15" hidden="false" customHeight="false" outlineLevel="0" collapsed="false">
      <c r="A513" s="34"/>
      <c r="B513" s="9"/>
      <c r="C513" s="9"/>
      <c r="D513" s="9"/>
      <c r="E513" s="9"/>
      <c r="F513" s="9"/>
      <c r="G513" s="35"/>
      <c r="H513" s="9"/>
    </row>
    <row r="514" customFormat="false" ht="15" hidden="false" customHeight="false" outlineLevel="0" collapsed="false">
      <c r="A514" s="34"/>
      <c r="B514" s="9"/>
      <c r="C514" s="9"/>
      <c r="D514" s="9"/>
      <c r="E514" s="9"/>
      <c r="F514" s="9"/>
      <c r="G514" s="35"/>
      <c r="H514" s="9"/>
    </row>
    <row r="515" customFormat="false" ht="15" hidden="false" customHeight="false" outlineLevel="0" collapsed="false">
      <c r="A515" s="34"/>
      <c r="B515" s="9"/>
      <c r="C515" s="9"/>
      <c r="D515" s="9"/>
      <c r="E515" s="9"/>
      <c r="F515" s="9"/>
      <c r="G515" s="35"/>
      <c r="H515" s="9"/>
    </row>
    <row r="516" customFormat="false" ht="15" hidden="false" customHeight="false" outlineLevel="0" collapsed="false">
      <c r="A516" s="34"/>
      <c r="B516" s="9"/>
      <c r="C516" s="9"/>
      <c r="D516" s="9"/>
      <c r="E516" s="9"/>
      <c r="F516" s="9"/>
      <c r="G516" s="35"/>
      <c r="H516" s="9"/>
    </row>
    <row r="517" customFormat="false" ht="15" hidden="false" customHeight="false" outlineLevel="0" collapsed="false">
      <c r="A517" s="34"/>
      <c r="B517" s="9"/>
      <c r="C517" s="9"/>
      <c r="D517" s="9"/>
      <c r="E517" s="9"/>
      <c r="F517" s="9"/>
      <c r="G517" s="35"/>
      <c r="H517" s="9"/>
    </row>
    <row r="518" customFormat="false" ht="15" hidden="false" customHeight="false" outlineLevel="0" collapsed="false">
      <c r="A518" s="34"/>
      <c r="B518" s="9"/>
      <c r="C518" s="9"/>
      <c r="D518" s="9"/>
      <c r="E518" s="9"/>
      <c r="F518" s="9"/>
      <c r="G518" s="35"/>
      <c r="H518" s="9"/>
    </row>
    <row r="519" customFormat="false" ht="15" hidden="false" customHeight="false" outlineLevel="0" collapsed="false">
      <c r="A519" s="34"/>
      <c r="B519" s="9"/>
      <c r="C519" s="9"/>
      <c r="D519" s="9"/>
      <c r="E519" s="9"/>
      <c r="F519" s="9"/>
      <c r="G519" s="35"/>
      <c r="H519" s="9"/>
    </row>
    <row r="520" customFormat="false" ht="15" hidden="false" customHeight="false" outlineLevel="0" collapsed="false">
      <c r="A520" s="34"/>
      <c r="B520" s="9"/>
      <c r="C520" s="9"/>
      <c r="D520" s="9"/>
      <c r="E520" s="9"/>
      <c r="F520" s="9"/>
      <c r="G520" s="35"/>
      <c r="H520" s="9"/>
    </row>
    <row r="521" customFormat="false" ht="15" hidden="false" customHeight="false" outlineLevel="0" collapsed="false">
      <c r="A521" s="34"/>
      <c r="B521" s="9"/>
      <c r="C521" s="9"/>
      <c r="D521" s="9"/>
      <c r="E521" s="9"/>
      <c r="F521" s="9"/>
      <c r="G521" s="35"/>
      <c r="H521" s="9"/>
    </row>
    <row r="522" customFormat="false" ht="15" hidden="false" customHeight="false" outlineLevel="0" collapsed="false">
      <c r="A522" s="34"/>
      <c r="B522" s="9"/>
      <c r="C522" s="9"/>
      <c r="D522" s="9"/>
      <c r="E522" s="9"/>
      <c r="F522" s="9"/>
      <c r="G522" s="35"/>
      <c r="H522" s="9"/>
    </row>
    <row r="523" customFormat="false" ht="15" hidden="false" customHeight="false" outlineLevel="0" collapsed="false">
      <c r="A523" s="34"/>
      <c r="B523" s="9"/>
      <c r="C523" s="9"/>
      <c r="D523" s="9"/>
      <c r="E523" s="9"/>
      <c r="F523" s="9"/>
      <c r="G523" s="35"/>
      <c r="H523" s="9"/>
    </row>
    <row r="524" customFormat="false" ht="15" hidden="false" customHeight="false" outlineLevel="0" collapsed="false">
      <c r="A524" s="34"/>
      <c r="B524" s="9"/>
      <c r="C524" s="9"/>
      <c r="D524" s="9"/>
      <c r="E524" s="9"/>
      <c r="F524" s="9"/>
      <c r="G524" s="35"/>
      <c r="H524" s="9"/>
    </row>
    <row r="525" customFormat="false" ht="15" hidden="false" customHeight="false" outlineLevel="0" collapsed="false">
      <c r="A525" s="34"/>
      <c r="B525" s="9"/>
      <c r="C525" s="9"/>
      <c r="D525" s="9"/>
      <c r="E525" s="9"/>
      <c r="F525" s="9"/>
      <c r="G525" s="35"/>
      <c r="H525" s="9"/>
    </row>
    <row r="526" customFormat="false" ht="15" hidden="false" customHeight="false" outlineLevel="0" collapsed="false">
      <c r="A526" s="34"/>
      <c r="B526" s="9"/>
      <c r="C526" s="9"/>
      <c r="D526" s="9"/>
      <c r="E526" s="9"/>
      <c r="F526" s="9"/>
      <c r="G526" s="35"/>
      <c r="H526" s="9"/>
    </row>
    <row r="527" customFormat="false" ht="15" hidden="false" customHeight="false" outlineLevel="0" collapsed="false">
      <c r="A527" s="34"/>
      <c r="B527" s="9"/>
      <c r="C527" s="9"/>
      <c r="D527" s="9"/>
      <c r="E527" s="9"/>
      <c r="F527" s="9"/>
      <c r="G527" s="35"/>
      <c r="H527" s="9"/>
    </row>
    <row r="528" customFormat="false" ht="15" hidden="false" customHeight="false" outlineLevel="0" collapsed="false">
      <c r="A528" s="34"/>
      <c r="B528" s="9"/>
      <c r="C528" s="9"/>
      <c r="D528" s="9"/>
      <c r="E528" s="9"/>
      <c r="F528" s="9"/>
      <c r="G528" s="35"/>
      <c r="H528" s="9"/>
    </row>
    <row r="529" customFormat="false" ht="15" hidden="false" customHeight="false" outlineLevel="0" collapsed="false">
      <c r="A529" s="34"/>
      <c r="B529" s="9"/>
      <c r="C529" s="9"/>
      <c r="D529" s="9"/>
      <c r="E529" s="9"/>
      <c r="F529" s="9"/>
      <c r="G529" s="35"/>
      <c r="H529" s="9"/>
    </row>
    <row r="530" customFormat="false" ht="15" hidden="false" customHeight="false" outlineLevel="0" collapsed="false">
      <c r="A530" s="34"/>
      <c r="B530" s="9"/>
      <c r="C530" s="9"/>
      <c r="D530" s="9"/>
      <c r="E530" s="9"/>
      <c r="F530" s="9"/>
      <c r="G530" s="35"/>
      <c r="H530" s="9"/>
    </row>
    <row r="531" customFormat="false" ht="15" hidden="false" customHeight="false" outlineLevel="0" collapsed="false">
      <c r="A531" s="34"/>
      <c r="B531" s="9"/>
      <c r="C531" s="9"/>
      <c r="D531" s="9"/>
      <c r="E531" s="9"/>
      <c r="F531" s="9"/>
      <c r="G531" s="35"/>
      <c r="H531" s="9"/>
    </row>
    <row r="532" customFormat="false" ht="15" hidden="false" customHeight="false" outlineLevel="0" collapsed="false">
      <c r="A532" s="34"/>
      <c r="B532" s="9"/>
      <c r="C532" s="9"/>
      <c r="D532" s="9"/>
      <c r="E532" s="9"/>
      <c r="F532" s="9"/>
      <c r="G532" s="35"/>
      <c r="H532" s="9"/>
    </row>
    <row r="533" customFormat="false" ht="15" hidden="false" customHeight="false" outlineLevel="0" collapsed="false">
      <c r="A533" s="34"/>
      <c r="B533" s="9"/>
      <c r="C533" s="9"/>
      <c r="D533" s="9"/>
      <c r="E533" s="9"/>
      <c r="F533" s="9"/>
      <c r="G533" s="35"/>
      <c r="H533" s="9"/>
    </row>
    <row r="534" customFormat="false" ht="15" hidden="false" customHeight="false" outlineLevel="0" collapsed="false">
      <c r="A534" s="34"/>
      <c r="B534" s="9"/>
      <c r="C534" s="9"/>
      <c r="D534" s="9"/>
      <c r="E534" s="9"/>
      <c r="F534" s="9"/>
      <c r="G534" s="35"/>
      <c r="H534" s="9"/>
    </row>
    <row r="535" customFormat="false" ht="15" hidden="false" customHeight="false" outlineLevel="0" collapsed="false">
      <c r="A535" s="34"/>
      <c r="B535" s="9"/>
      <c r="C535" s="9"/>
      <c r="D535" s="9"/>
      <c r="E535" s="9"/>
      <c r="F535" s="9"/>
      <c r="G535" s="35"/>
      <c r="H535" s="9"/>
    </row>
    <row r="536" customFormat="false" ht="15" hidden="false" customHeight="false" outlineLevel="0" collapsed="false">
      <c r="A536" s="34"/>
      <c r="B536" s="9"/>
      <c r="C536" s="9"/>
      <c r="D536" s="9"/>
      <c r="E536" s="9"/>
      <c r="F536" s="9"/>
      <c r="G536" s="35"/>
      <c r="H536" s="9"/>
    </row>
    <row r="537" customFormat="false" ht="15" hidden="false" customHeight="false" outlineLevel="0" collapsed="false">
      <c r="A537" s="34"/>
      <c r="B537" s="9"/>
      <c r="C537" s="9"/>
      <c r="D537" s="9"/>
      <c r="E537" s="9"/>
      <c r="F537" s="9"/>
      <c r="G537" s="35"/>
      <c r="H537" s="9"/>
    </row>
    <row r="538" customFormat="false" ht="15" hidden="false" customHeight="false" outlineLevel="0" collapsed="false">
      <c r="A538" s="34"/>
      <c r="B538" s="9"/>
      <c r="C538" s="9"/>
      <c r="D538" s="9"/>
      <c r="E538" s="9"/>
      <c r="F538" s="9"/>
      <c r="G538" s="35"/>
      <c r="H538" s="9"/>
    </row>
    <row r="539" customFormat="false" ht="15" hidden="false" customHeight="false" outlineLevel="0" collapsed="false">
      <c r="A539" s="34"/>
      <c r="B539" s="9"/>
      <c r="C539" s="9"/>
      <c r="D539" s="9"/>
      <c r="E539" s="9"/>
      <c r="F539" s="9"/>
      <c r="G539" s="35"/>
      <c r="H539" s="9"/>
    </row>
    <row r="540" customFormat="false" ht="15" hidden="false" customHeight="false" outlineLevel="0" collapsed="false">
      <c r="A540" s="34"/>
      <c r="B540" s="9"/>
      <c r="C540" s="9"/>
      <c r="D540" s="9"/>
      <c r="E540" s="9"/>
      <c r="F540" s="9"/>
      <c r="G540" s="35"/>
      <c r="H540" s="9"/>
    </row>
    <row r="541" customFormat="false" ht="15" hidden="false" customHeight="false" outlineLevel="0" collapsed="false">
      <c r="A541" s="34"/>
      <c r="B541" s="9"/>
      <c r="C541" s="9"/>
      <c r="D541" s="9"/>
      <c r="E541" s="9"/>
      <c r="F541" s="9"/>
      <c r="G541" s="35"/>
      <c r="H541" s="9"/>
    </row>
    <row r="542" customFormat="false" ht="15" hidden="false" customHeight="false" outlineLevel="0" collapsed="false">
      <c r="A542" s="34"/>
      <c r="B542" s="9"/>
      <c r="C542" s="9"/>
      <c r="D542" s="9"/>
      <c r="E542" s="9"/>
      <c r="F542" s="9"/>
      <c r="G542" s="35"/>
      <c r="H542" s="9"/>
    </row>
    <row r="543" customFormat="false" ht="15" hidden="false" customHeight="false" outlineLevel="0" collapsed="false">
      <c r="A543" s="34"/>
      <c r="B543" s="9"/>
      <c r="C543" s="9"/>
      <c r="D543" s="9"/>
      <c r="E543" s="9"/>
      <c r="F543" s="9"/>
      <c r="G543" s="35"/>
      <c r="H543" s="9"/>
    </row>
    <row r="544" customFormat="false" ht="15" hidden="false" customHeight="false" outlineLevel="0" collapsed="false">
      <c r="A544" s="34"/>
      <c r="B544" s="9"/>
      <c r="C544" s="9"/>
      <c r="D544" s="9"/>
      <c r="E544" s="9"/>
      <c r="F544" s="9"/>
      <c r="G544" s="35"/>
      <c r="H544" s="9"/>
    </row>
    <row r="545" customFormat="false" ht="15" hidden="false" customHeight="false" outlineLevel="0" collapsed="false">
      <c r="A545" s="34"/>
      <c r="B545" s="9"/>
      <c r="C545" s="9"/>
      <c r="D545" s="9"/>
      <c r="E545" s="9"/>
      <c r="F545" s="9"/>
      <c r="G545" s="35"/>
      <c r="H545" s="9"/>
    </row>
    <row r="546" customFormat="false" ht="15" hidden="false" customHeight="false" outlineLevel="0" collapsed="false">
      <c r="A546" s="34"/>
      <c r="B546" s="9"/>
      <c r="C546" s="9"/>
      <c r="D546" s="9"/>
      <c r="E546" s="9"/>
      <c r="F546" s="9"/>
      <c r="G546" s="35"/>
      <c r="H546" s="9"/>
    </row>
    <row r="547" customFormat="false" ht="15" hidden="false" customHeight="false" outlineLevel="0" collapsed="false">
      <c r="A547" s="34"/>
      <c r="B547" s="9"/>
      <c r="C547" s="9"/>
      <c r="D547" s="9"/>
      <c r="E547" s="9"/>
      <c r="F547" s="9"/>
      <c r="G547" s="35"/>
      <c r="H547" s="9"/>
    </row>
    <row r="548" customFormat="false" ht="15" hidden="false" customHeight="false" outlineLevel="0" collapsed="false">
      <c r="A548" s="34"/>
      <c r="B548" s="9"/>
      <c r="C548" s="9"/>
      <c r="D548" s="9"/>
      <c r="E548" s="9"/>
      <c r="F548" s="9"/>
      <c r="G548" s="35"/>
      <c r="H548" s="9"/>
    </row>
    <row r="549" customFormat="false" ht="15" hidden="false" customHeight="false" outlineLevel="0" collapsed="false">
      <c r="A549" s="34"/>
      <c r="B549" s="9"/>
      <c r="C549" s="9"/>
      <c r="D549" s="9"/>
      <c r="E549" s="9"/>
      <c r="F549" s="9"/>
      <c r="G549" s="35"/>
      <c r="H549" s="9"/>
    </row>
    <row r="550" customFormat="false" ht="15" hidden="false" customHeight="false" outlineLevel="0" collapsed="false">
      <c r="A550" s="34"/>
      <c r="B550" s="9"/>
      <c r="C550" s="9"/>
      <c r="D550" s="9"/>
      <c r="E550" s="9"/>
      <c r="F550" s="9"/>
      <c r="G550" s="35"/>
      <c r="H550" s="9"/>
    </row>
    <row r="551" customFormat="false" ht="15" hidden="false" customHeight="false" outlineLevel="0" collapsed="false">
      <c r="A551" s="34"/>
      <c r="B551" s="9"/>
      <c r="C551" s="9"/>
      <c r="D551" s="9"/>
      <c r="E551" s="9"/>
      <c r="F551" s="9"/>
      <c r="G551" s="35"/>
      <c r="H551" s="9"/>
    </row>
    <row r="552" customFormat="false" ht="15" hidden="false" customHeight="false" outlineLevel="0" collapsed="false">
      <c r="A552" s="34"/>
      <c r="B552" s="9"/>
      <c r="C552" s="9"/>
      <c r="D552" s="9"/>
      <c r="E552" s="9"/>
      <c r="F552" s="9"/>
      <c r="G552" s="35"/>
      <c r="H552" s="9"/>
    </row>
    <row r="553" customFormat="false" ht="15" hidden="false" customHeight="false" outlineLevel="0" collapsed="false">
      <c r="A553" s="34"/>
      <c r="B553" s="9"/>
      <c r="C553" s="9"/>
      <c r="D553" s="9"/>
      <c r="E553" s="9"/>
      <c r="F553" s="9"/>
      <c r="G553" s="35"/>
      <c r="H553" s="9"/>
    </row>
    <row r="554" customFormat="false" ht="15" hidden="false" customHeight="false" outlineLevel="0" collapsed="false">
      <c r="A554" s="34"/>
      <c r="B554" s="9"/>
      <c r="C554" s="9"/>
      <c r="D554" s="9"/>
      <c r="E554" s="9"/>
      <c r="F554" s="9"/>
      <c r="G554" s="35"/>
      <c r="H554" s="9"/>
    </row>
    <row r="555" customFormat="false" ht="15" hidden="false" customHeight="false" outlineLevel="0" collapsed="false">
      <c r="A555" s="34"/>
      <c r="B555" s="9"/>
      <c r="C555" s="9"/>
      <c r="D555" s="9"/>
      <c r="E555" s="9"/>
      <c r="F555" s="9"/>
      <c r="G555" s="35"/>
      <c r="H555" s="9"/>
    </row>
    <row r="556" customFormat="false" ht="15" hidden="false" customHeight="false" outlineLevel="0" collapsed="false">
      <c r="A556" s="34"/>
      <c r="B556" s="9"/>
      <c r="C556" s="9"/>
      <c r="D556" s="9"/>
      <c r="E556" s="9"/>
      <c r="F556" s="9"/>
      <c r="G556" s="35"/>
      <c r="H556" s="9"/>
    </row>
    <row r="557" customFormat="false" ht="15" hidden="false" customHeight="false" outlineLevel="0" collapsed="false">
      <c r="A557" s="34"/>
      <c r="B557" s="9"/>
      <c r="C557" s="9"/>
      <c r="D557" s="9"/>
      <c r="E557" s="9"/>
      <c r="F557" s="9"/>
      <c r="G557" s="35"/>
      <c r="H557" s="9"/>
    </row>
    <row r="558" customFormat="false" ht="15" hidden="false" customHeight="false" outlineLevel="0" collapsed="false">
      <c r="A558" s="34"/>
      <c r="B558" s="9"/>
      <c r="C558" s="9"/>
      <c r="D558" s="9"/>
      <c r="E558" s="9"/>
      <c r="F558" s="9"/>
      <c r="G558" s="35"/>
      <c r="H558" s="9"/>
    </row>
    <row r="559" customFormat="false" ht="15" hidden="false" customHeight="false" outlineLevel="0" collapsed="false">
      <c r="A559" s="34"/>
      <c r="B559" s="9"/>
      <c r="C559" s="9"/>
      <c r="D559" s="9"/>
      <c r="E559" s="9"/>
      <c r="F559" s="9"/>
      <c r="G559" s="35"/>
      <c r="H559" s="9"/>
    </row>
    <row r="560" customFormat="false" ht="15" hidden="false" customHeight="false" outlineLevel="0" collapsed="false">
      <c r="A560" s="34"/>
      <c r="B560" s="9"/>
      <c r="C560" s="9"/>
      <c r="D560" s="9"/>
      <c r="E560" s="9"/>
      <c r="F560" s="9"/>
      <c r="G560" s="35"/>
      <c r="H560" s="9"/>
    </row>
    <row r="561" customFormat="false" ht="15" hidden="false" customHeight="false" outlineLevel="0" collapsed="false">
      <c r="A561" s="34"/>
      <c r="B561" s="9"/>
      <c r="C561" s="9"/>
      <c r="D561" s="9"/>
      <c r="E561" s="9"/>
      <c r="F561" s="9"/>
      <c r="G561" s="35"/>
      <c r="H561" s="9"/>
    </row>
    <row r="562" customFormat="false" ht="15" hidden="false" customHeight="false" outlineLevel="0" collapsed="false">
      <c r="A562" s="34"/>
      <c r="B562" s="9"/>
      <c r="C562" s="9"/>
      <c r="D562" s="9"/>
      <c r="E562" s="9"/>
      <c r="F562" s="9"/>
      <c r="G562" s="35"/>
      <c r="H562" s="9"/>
    </row>
    <row r="563" customFormat="false" ht="15" hidden="false" customHeight="false" outlineLevel="0" collapsed="false">
      <c r="A563" s="34"/>
      <c r="B563" s="9"/>
      <c r="C563" s="9"/>
      <c r="D563" s="9"/>
      <c r="E563" s="9"/>
      <c r="F563" s="9"/>
      <c r="G563" s="35"/>
      <c r="H563" s="9"/>
    </row>
    <row r="564" customFormat="false" ht="15" hidden="false" customHeight="false" outlineLevel="0" collapsed="false">
      <c r="A564" s="34"/>
      <c r="B564" s="9"/>
      <c r="C564" s="9"/>
      <c r="D564" s="9"/>
      <c r="E564" s="9"/>
      <c r="F564" s="9"/>
      <c r="G564" s="35"/>
      <c r="H564" s="9"/>
    </row>
    <row r="565" customFormat="false" ht="15" hidden="false" customHeight="false" outlineLevel="0" collapsed="false">
      <c r="A565" s="34"/>
      <c r="B565" s="9"/>
      <c r="C565" s="9"/>
      <c r="D565" s="9"/>
      <c r="E565" s="9"/>
      <c r="F565" s="9"/>
      <c r="G565" s="35"/>
      <c r="H565" s="9"/>
    </row>
    <row r="566" customFormat="false" ht="15" hidden="false" customHeight="false" outlineLevel="0" collapsed="false">
      <c r="A566" s="34"/>
      <c r="B566" s="9"/>
      <c r="C566" s="9"/>
      <c r="D566" s="9"/>
      <c r="E566" s="9"/>
      <c r="F566" s="9"/>
      <c r="G566" s="35"/>
      <c r="H566" s="9"/>
    </row>
    <row r="567" customFormat="false" ht="15" hidden="false" customHeight="false" outlineLevel="0" collapsed="false">
      <c r="A567" s="34"/>
      <c r="B567" s="9"/>
      <c r="C567" s="9"/>
      <c r="D567" s="9"/>
      <c r="E567" s="9"/>
      <c r="F567" s="9"/>
      <c r="G567" s="35"/>
      <c r="H567" s="9"/>
    </row>
    <row r="568" customFormat="false" ht="15" hidden="false" customHeight="false" outlineLevel="0" collapsed="false">
      <c r="A568" s="34"/>
      <c r="B568" s="9"/>
      <c r="C568" s="9"/>
      <c r="D568" s="9"/>
      <c r="E568" s="9"/>
      <c r="F568" s="9"/>
      <c r="G568" s="35"/>
      <c r="H568" s="9"/>
    </row>
    <row r="569" customFormat="false" ht="15" hidden="false" customHeight="false" outlineLevel="0" collapsed="false">
      <c r="A569" s="34"/>
      <c r="B569" s="9"/>
      <c r="C569" s="9"/>
      <c r="D569" s="9"/>
      <c r="E569" s="9"/>
      <c r="F569" s="9"/>
      <c r="G569" s="35"/>
      <c r="H569" s="9"/>
    </row>
    <row r="570" customFormat="false" ht="15" hidden="false" customHeight="false" outlineLevel="0" collapsed="false">
      <c r="A570" s="34"/>
      <c r="B570" s="9"/>
      <c r="C570" s="9"/>
      <c r="D570" s="9"/>
      <c r="E570" s="9"/>
      <c r="F570" s="9"/>
      <c r="G570" s="35"/>
      <c r="H570" s="9"/>
    </row>
    <row r="571" customFormat="false" ht="15" hidden="false" customHeight="false" outlineLevel="0" collapsed="false">
      <c r="A571" s="34"/>
      <c r="B571" s="9"/>
      <c r="C571" s="9"/>
      <c r="D571" s="9"/>
      <c r="E571" s="9"/>
      <c r="F571" s="9"/>
      <c r="G571" s="35"/>
      <c r="H571" s="9"/>
    </row>
    <row r="572" customFormat="false" ht="15" hidden="false" customHeight="false" outlineLevel="0" collapsed="false">
      <c r="A572" s="34"/>
      <c r="B572" s="9"/>
      <c r="C572" s="9"/>
      <c r="D572" s="9"/>
      <c r="E572" s="9"/>
      <c r="F572" s="9"/>
      <c r="G572" s="35"/>
      <c r="H572" s="9"/>
    </row>
    <row r="573" customFormat="false" ht="15" hidden="false" customHeight="false" outlineLevel="0" collapsed="false">
      <c r="A573" s="34"/>
      <c r="B573" s="9"/>
      <c r="C573" s="9"/>
      <c r="D573" s="9"/>
      <c r="E573" s="9"/>
      <c r="F573" s="9"/>
      <c r="G573" s="35"/>
      <c r="H573" s="9"/>
    </row>
    <row r="574" customFormat="false" ht="15" hidden="false" customHeight="false" outlineLevel="0" collapsed="false">
      <c r="A574" s="34"/>
      <c r="B574" s="9"/>
      <c r="C574" s="9"/>
      <c r="D574" s="9"/>
      <c r="E574" s="9"/>
      <c r="F574" s="9"/>
      <c r="G574" s="35"/>
      <c r="H574" s="9"/>
    </row>
    <row r="575" customFormat="false" ht="15" hidden="false" customHeight="false" outlineLevel="0" collapsed="false">
      <c r="A575" s="34"/>
      <c r="B575" s="9"/>
      <c r="C575" s="9"/>
      <c r="D575" s="9"/>
      <c r="E575" s="9"/>
      <c r="F575" s="9"/>
      <c r="G575" s="35"/>
      <c r="H575" s="9"/>
    </row>
    <row r="576" customFormat="false" ht="15" hidden="false" customHeight="false" outlineLevel="0" collapsed="false">
      <c r="A576" s="34"/>
      <c r="B576" s="9"/>
      <c r="C576" s="9"/>
      <c r="D576" s="9"/>
      <c r="E576" s="9"/>
      <c r="F576" s="9"/>
      <c r="G576" s="35"/>
      <c r="H576" s="9"/>
    </row>
    <row r="577" customFormat="false" ht="15" hidden="false" customHeight="false" outlineLevel="0" collapsed="false">
      <c r="A577" s="34"/>
      <c r="B577" s="9"/>
      <c r="C577" s="9"/>
      <c r="D577" s="9"/>
      <c r="E577" s="9"/>
      <c r="F577" s="9"/>
      <c r="G577" s="35"/>
      <c r="H577" s="9"/>
    </row>
    <row r="578" customFormat="false" ht="15" hidden="false" customHeight="false" outlineLevel="0" collapsed="false">
      <c r="A578" s="34"/>
      <c r="B578" s="9"/>
      <c r="C578" s="9"/>
      <c r="D578" s="9"/>
      <c r="E578" s="9"/>
      <c r="F578" s="9"/>
      <c r="G578" s="35"/>
      <c r="H578" s="9"/>
    </row>
    <row r="579" customFormat="false" ht="15" hidden="false" customHeight="false" outlineLevel="0" collapsed="false">
      <c r="A579" s="34"/>
      <c r="B579" s="9"/>
      <c r="C579" s="9"/>
      <c r="D579" s="9"/>
      <c r="E579" s="9"/>
      <c r="F579" s="9"/>
      <c r="G579" s="35"/>
      <c r="H579" s="9"/>
    </row>
    <row r="580" customFormat="false" ht="15" hidden="false" customHeight="false" outlineLevel="0" collapsed="false">
      <c r="A580" s="34"/>
      <c r="B580" s="9"/>
      <c r="C580" s="9"/>
      <c r="D580" s="9"/>
      <c r="E580" s="9"/>
      <c r="F580" s="9"/>
      <c r="G580" s="35"/>
      <c r="H580" s="9"/>
    </row>
    <row r="581" customFormat="false" ht="15" hidden="false" customHeight="false" outlineLevel="0" collapsed="false">
      <c r="A581" s="34"/>
      <c r="B581" s="9"/>
      <c r="C581" s="9"/>
      <c r="D581" s="9"/>
      <c r="E581" s="9"/>
      <c r="F581" s="9"/>
      <c r="G581" s="35"/>
      <c r="H581" s="9"/>
    </row>
    <row r="582" customFormat="false" ht="15" hidden="false" customHeight="false" outlineLevel="0" collapsed="false">
      <c r="A582" s="34"/>
      <c r="B582" s="9"/>
      <c r="C582" s="9"/>
      <c r="D582" s="9"/>
      <c r="E582" s="9"/>
      <c r="F582" s="9"/>
      <c r="G582" s="35"/>
      <c r="H582" s="9"/>
    </row>
    <row r="583" customFormat="false" ht="15" hidden="false" customHeight="false" outlineLevel="0" collapsed="false">
      <c r="A583" s="34"/>
      <c r="B583" s="9"/>
      <c r="C583" s="9"/>
      <c r="D583" s="9"/>
      <c r="E583" s="9"/>
      <c r="F583" s="9"/>
      <c r="G583" s="35"/>
      <c r="H583" s="9"/>
    </row>
    <row r="584" customFormat="false" ht="15" hidden="false" customHeight="false" outlineLevel="0" collapsed="false">
      <c r="A584" s="34"/>
      <c r="B584" s="9"/>
      <c r="C584" s="9"/>
      <c r="D584" s="9"/>
      <c r="E584" s="9"/>
      <c r="F584" s="9"/>
      <c r="G584" s="35"/>
      <c r="H584" s="9"/>
    </row>
    <row r="585" customFormat="false" ht="15" hidden="false" customHeight="false" outlineLevel="0" collapsed="false">
      <c r="A585" s="34"/>
      <c r="B585" s="9"/>
      <c r="C585" s="9"/>
      <c r="D585" s="9"/>
      <c r="E585" s="9"/>
      <c r="F585" s="9"/>
      <c r="G585" s="35"/>
      <c r="H585" s="9"/>
    </row>
    <row r="586" customFormat="false" ht="15" hidden="false" customHeight="false" outlineLevel="0" collapsed="false">
      <c r="A586" s="34"/>
      <c r="B586" s="9"/>
      <c r="C586" s="9"/>
      <c r="D586" s="9"/>
      <c r="E586" s="9"/>
      <c r="F586" s="9"/>
      <c r="G586" s="35"/>
      <c r="H586" s="9"/>
    </row>
    <row r="587" customFormat="false" ht="15" hidden="false" customHeight="false" outlineLevel="0" collapsed="false">
      <c r="A587" s="34"/>
      <c r="B587" s="9"/>
      <c r="C587" s="9"/>
      <c r="D587" s="9"/>
      <c r="E587" s="9"/>
      <c r="F587" s="9"/>
      <c r="G587" s="35"/>
      <c r="H587" s="9"/>
    </row>
    <row r="588" customFormat="false" ht="15" hidden="false" customHeight="false" outlineLevel="0" collapsed="false">
      <c r="A588" s="34"/>
      <c r="B588" s="9"/>
      <c r="C588" s="9"/>
      <c r="D588" s="9"/>
      <c r="E588" s="9"/>
      <c r="F588" s="9"/>
      <c r="G588" s="35"/>
      <c r="H588" s="9"/>
    </row>
    <row r="589" customFormat="false" ht="15" hidden="false" customHeight="false" outlineLevel="0" collapsed="false">
      <c r="A589" s="34"/>
      <c r="B589" s="9"/>
      <c r="C589" s="9"/>
      <c r="D589" s="9"/>
      <c r="E589" s="9"/>
      <c r="F589" s="9"/>
      <c r="G589" s="35"/>
      <c r="H589" s="9"/>
    </row>
    <row r="590" customFormat="false" ht="15" hidden="false" customHeight="false" outlineLevel="0" collapsed="false">
      <c r="A590" s="34"/>
      <c r="B590" s="9"/>
      <c r="C590" s="9"/>
      <c r="D590" s="9"/>
      <c r="E590" s="9"/>
      <c r="F590" s="9"/>
      <c r="G590" s="35"/>
      <c r="H590" s="9"/>
    </row>
    <row r="591" customFormat="false" ht="15" hidden="false" customHeight="false" outlineLevel="0" collapsed="false">
      <c r="A591" s="34"/>
      <c r="B591" s="9"/>
      <c r="C591" s="9"/>
      <c r="D591" s="9"/>
      <c r="E591" s="9"/>
      <c r="F591" s="9"/>
      <c r="G591" s="35"/>
      <c r="H591" s="9"/>
    </row>
    <row r="592" customFormat="false" ht="15" hidden="false" customHeight="false" outlineLevel="0" collapsed="false">
      <c r="A592" s="34"/>
      <c r="B592" s="9"/>
      <c r="C592" s="9"/>
      <c r="D592" s="9"/>
      <c r="E592" s="9"/>
      <c r="F592" s="9"/>
      <c r="G592" s="35"/>
      <c r="H592" s="9"/>
    </row>
    <row r="593" customFormat="false" ht="15" hidden="false" customHeight="false" outlineLevel="0" collapsed="false">
      <c r="A593" s="34"/>
      <c r="B593" s="9"/>
      <c r="C593" s="9"/>
      <c r="D593" s="9"/>
      <c r="E593" s="9"/>
      <c r="F593" s="9"/>
      <c r="G593" s="35"/>
      <c r="H593" s="9"/>
    </row>
    <row r="594" customFormat="false" ht="15" hidden="false" customHeight="false" outlineLevel="0" collapsed="false">
      <c r="A594" s="34"/>
      <c r="B594" s="9"/>
      <c r="C594" s="9"/>
      <c r="D594" s="9"/>
      <c r="E594" s="9"/>
      <c r="F594" s="9"/>
      <c r="G594" s="35"/>
      <c r="H594" s="9"/>
    </row>
    <row r="595" customFormat="false" ht="15" hidden="false" customHeight="false" outlineLevel="0" collapsed="false">
      <c r="A595" s="34"/>
      <c r="B595" s="9"/>
      <c r="C595" s="9"/>
      <c r="D595" s="9"/>
      <c r="E595" s="9"/>
      <c r="F595" s="9"/>
      <c r="G595" s="35"/>
      <c r="H595" s="9"/>
    </row>
    <row r="596" customFormat="false" ht="15" hidden="false" customHeight="false" outlineLevel="0" collapsed="false">
      <c r="A596" s="34"/>
      <c r="B596" s="9"/>
      <c r="C596" s="9"/>
      <c r="D596" s="9"/>
      <c r="E596" s="9"/>
      <c r="F596" s="9"/>
      <c r="G596" s="35"/>
      <c r="H596" s="9"/>
    </row>
    <row r="597" customFormat="false" ht="15" hidden="false" customHeight="false" outlineLevel="0" collapsed="false">
      <c r="A597" s="34"/>
      <c r="B597" s="9"/>
      <c r="C597" s="9"/>
      <c r="D597" s="9"/>
      <c r="E597" s="9"/>
      <c r="F597" s="9"/>
      <c r="G597" s="35"/>
      <c r="H597" s="9"/>
    </row>
    <row r="598" customFormat="false" ht="15" hidden="false" customHeight="false" outlineLevel="0" collapsed="false">
      <c r="A598" s="34"/>
      <c r="B598" s="9"/>
      <c r="C598" s="9"/>
      <c r="D598" s="9"/>
      <c r="E598" s="9"/>
      <c r="F598" s="9"/>
      <c r="G598" s="35"/>
      <c r="H598" s="9"/>
    </row>
    <row r="599" customFormat="false" ht="15" hidden="false" customHeight="false" outlineLevel="0" collapsed="false">
      <c r="A599" s="34"/>
      <c r="B599" s="9"/>
      <c r="C599" s="9"/>
      <c r="D599" s="9"/>
      <c r="E599" s="9"/>
      <c r="F599" s="9"/>
      <c r="G599" s="35"/>
      <c r="H599" s="9"/>
    </row>
    <row r="600" customFormat="false" ht="15" hidden="false" customHeight="false" outlineLevel="0" collapsed="false">
      <c r="A600" s="34"/>
      <c r="B600" s="9"/>
      <c r="C600" s="9"/>
      <c r="D600" s="9"/>
      <c r="E600" s="9"/>
      <c r="F600" s="9"/>
      <c r="G600" s="35"/>
      <c r="H600" s="9"/>
    </row>
    <row r="601" customFormat="false" ht="15" hidden="false" customHeight="false" outlineLevel="0" collapsed="false">
      <c r="A601" s="34"/>
      <c r="B601" s="9"/>
      <c r="C601" s="9"/>
      <c r="D601" s="9"/>
      <c r="E601" s="9"/>
      <c r="F601" s="9"/>
      <c r="G601" s="35"/>
      <c r="H601" s="9"/>
    </row>
    <row r="602" customFormat="false" ht="15" hidden="false" customHeight="false" outlineLevel="0" collapsed="false">
      <c r="A602" s="34"/>
      <c r="B602" s="9"/>
      <c r="C602" s="9"/>
      <c r="D602" s="9"/>
      <c r="E602" s="9"/>
      <c r="F602" s="9"/>
      <c r="G602" s="35"/>
      <c r="H602" s="9"/>
    </row>
    <row r="603" customFormat="false" ht="15" hidden="false" customHeight="false" outlineLevel="0" collapsed="false">
      <c r="A603" s="34"/>
      <c r="B603" s="9"/>
      <c r="C603" s="9"/>
      <c r="D603" s="9"/>
      <c r="E603" s="9"/>
      <c r="F603" s="9"/>
      <c r="G603" s="35"/>
      <c r="H603" s="9"/>
    </row>
    <row r="604" customFormat="false" ht="15" hidden="false" customHeight="false" outlineLevel="0" collapsed="false">
      <c r="A604" s="34"/>
      <c r="B604" s="9"/>
      <c r="C604" s="9"/>
      <c r="D604" s="9"/>
      <c r="E604" s="9"/>
      <c r="F604" s="9"/>
      <c r="G604" s="35"/>
      <c r="H604" s="9"/>
    </row>
    <row r="605" customFormat="false" ht="15" hidden="false" customHeight="false" outlineLevel="0" collapsed="false">
      <c r="A605" s="34"/>
      <c r="B605" s="9"/>
      <c r="C605" s="9"/>
      <c r="D605" s="9"/>
      <c r="E605" s="9"/>
      <c r="F605" s="9"/>
      <c r="G605" s="35"/>
      <c r="H605" s="9"/>
    </row>
    <row r="606" customFormat="false" ht="15" hidden="false" customHeight="false" outlineLevel="0" collapsed="false">
      <c r="A606" s="34"/>
      <c r="B606" s="9"/>
      <c r="C606" s="9"/>
      <c r="D606" s="9"/>
      <c r="E606" s="9"/>
      <c r="F606" s="9"/>
      <c r="G606" s="35"/>
      <c r="H606" s="9"/>
    </row>
    <row r="607" customFormat="false" ht="15" hidden="false" customHeight="false" outlineLevel="0" collapsed="false">
      <c r="A607" s="34"/>
      <c r="B607" s="9"/>
      <c r="C607" s="9"/>
      <c r="D607" s="9"/>
      <c r="E607" s="9"/>
      <c r="F607" s="9"/>
      <c r="G607" s="35"/>
      <c r="H607" s="9"/>
    </row>
    <row r="608" customFormat="false" ht="15" hidden="false" customHeight="false" outlineLevel="0" collapsed="false">
      <c r="A608" s="34"/>
      <c r="B608" s="9"/>
      <c r="C608" s="9"/>
      <c r="D608" s="9"/>
      <c r="E608" s="9"/>
      <c r="F608" s="9"/>
      <c r="G608" s="35"/>
      <c r="H608" s="9"/>
    </row>
    <row r="609" customFormat="false" ht="15" hidden="false" customHeight="false" outlineLevel="0" collapsed="false">
      <c r="A609" s="34"/>
      <c r="B609" s="9"/>
      <c r="C609" s="9"/>
      <c r="D609" s="9"/>
      <c r="E609" s="9"/>
      <c r="F609" s="9"/>
      <c r="G609" s="35"/>
      <c r="H609" s="9"/>
    </row>
    <row r="610" customFormat="false" ht="15" hidden="false" customHeight="false" outlineLevel="0" collapsed="false">
      <c r="A610" s="34"/>
      <c r="B610" s="9"/>
      <c r="C610" s="9"/>
      <c r="D610" s="9"/>
      <c r="E610" s="9"/>
      <c r="F610" s="9"/>
      <c r="G610" s="35"/>
      <c r="H610" s="9"/>
    </row>
    <row r="611" customFormat="false" ht="15" hidden="false" customHeight="false" outlineLevel="0" collapsed="false">
      <c r="A611" s="34"/>
      <c r="B611" s="9"/>
      <c r="C611" s="9"/>
      <c r="D611" s="9"/>
      <c r="E611" s="9"/>
      <c r="F611" s="9"/>
      <c r="G611" s="35"/>
      <c r="H611" s="9"/>
    </row>
    <row r="612" customFormat="false" ht="15" hidden="false" customHeight="false" outlineLevel="0" collapsed="false">
      <c r="A612" s="34"/>
      <c r="B612" s="9"/>
      <c r="C612" s="9"/>
      <c r="D612" s="9"/>
      <c r="E612" s="9"/>
      <c r="F612" s="9"/>
      <c r="G612" s="35"/>
      <c r="H612" s="9"/>
    </row>
    <row r="613" customFormat="false" ht="15" hidden="false" customHeight="false" outlineLevel="0" collapsed="false">
      <c r="A613" s="34"/>
      <c r="B613" s="9"/>
      <c r="C613" s="9"/>
      <c r="D613" s="9"/>
      <c r="E613" s="9"/>
      <c r="F613" s="9"/>
      <c r="G613" s="35"/>
      <c r="H613" s="9"/>
    </row>
    <row r="614" customFormat="false" ht="15" hidden="false" customHeight="false" outlineLevel="0" collapsed="false">
      <c r="A614" s="34"/>
      <c r="B614" s="9"/>
      <c r="C614" s="9"/>
      <c r="D614" s="9"/>
      <c r="E614" s="9"/>
      <c r="F614" s="9"/>
      <c r="G614" s="35"/>
      <c r="H614" s="9"/>
    </row>
    <row r="615" customFormat="false" ht="15" hidden="false" customHeight="false" outlineLevel="0" collapsed="false">
      <c r="A615" s="34"/>
      <c r="B615" s="9"/>
      <c r="C615" s="9"/>
      <c r="D615" s="9"/>
      <c r="E615" s="9"/>
      <c r="F615" s="9"/>
      <c r="G615" s="35"/>
      <c r="H615" s="9"/>
    </row>
    <row r="616" customFormat="false" ht="15" hidden="false" customHeight="false" outlineLevel="0" collapsed="false">
      <c r="A616" s="34"/>
      <c r="B616" s="9"/>
      <c r="C616" s="9"/>
      <c r="D616" s="9"/>
      <c r="E616" s="9"/>
      <c r="F616" s="9"/>
      <c r="G616" s="35"/>
      <c r="H616" s="9"/>
    </row>
    <row r="617" customFormat="false" ht="15" hidden="false" customHeight="false" outlineLevel="0" collapsed="false">
      <c r="A617" s="34"/>
      <c r="B617" s="9"/>
      <c r="C617" s="9"/>
      <c r="D617" s="9"/>
      <c r="E617" s="9"/>
      <c r="F617" s="9"/>
      <c r="G617" s="35"/>
      <c r="H617" s="9"/>
    </row>
    <row r="618" customFormat="false" ht="15" hidden="false" customHeight="false" outlineLevel="0" collapsed="false">
      <c r="A618" s="34"/>
      <c r="B618" s="9"/>
      <c r="C618" s="9"/>
      <c r="D618" s="9"/>
      <c r="E618" s="9"/>
      <c r="F618" s="9"/>
      <c r="G618" s="35"/>
      <c r="H618" s="9"/>
    </row>
    <row r="619" customFormat="false" ht="15" hidden="false" customHeight="false" outlineLevel="0" collapsed="false">
      <c r="A619" s="34"/>
      <c r="B619" s="9"/>
      <c r="C619" s="9"/>
      <c r="D619" s="9"/>
      <c r="E619" s="9"/>
      <c r="F619" s="9"/>
      <c r="G619" s="35"/>
      <c r="H619" s="9"/>
    </row>
    <row r="620" customFormat="false" ht="15" hidden="false" customHeight="false" outlineLevel="0" collapsed="false">
      <c r="A620" s="34"/>
      <c r="B620" s="9"/>
      <c r="C620" s="9"/>
      <c r="D620" s="9"/>
      <c r="E620" s="9"/>
      <c r="F620" s="9"/>
      <c r="G620" s="35"/>
      <c r="H620" s="9"/>
    </row>
    <row r="621" customFormat="false" ht="15" hidden="false" customHeight="false" outlineLevel="0" collapsed="false">
      <c r="A621" s="34"/>
      <c r="B621" s="9"/>
      <c r="C621" s="9"/>
      <c r="D621" s="9"/>
      <c r="E621" s="9"/>
      <c r="F621" s="9"/>
      <c r="G621" s="35"/>
      <c r="H621" s="9"/>
    </row>
    <row r="622" customFormat="false" ht="15" hidden="false" customHeight="false" outlineLevel="0" collapsed="false">
      <c r="A622" s="34"/>
      <c r="B622" s="9"/>
      <c r="C622" s="9"/>
      <c r="D622" s="9"/>
      <c r="E622" s="9"/>
      <c r="F622" s="9"/>
      <c r="G622" s="35"/>
      <c r="H622" s="9"/>
    </row>
    <row r="623" customFormat="false" ht="15" hidden="false" customHeight="false" outlineLevel="0" collapsed="false">
      <c r="A623" s="34"/>
      <c r="B623" s="9"/>
      <c r="C623" s="9"/>
      <c r="D623" s="9"/>
      <c r="E623" s="9"/>
      <c r="F623" s="9"/>
      <c r="G623" s="35"/>
      <c r="H623" s="9"/>
    </row>
    <row r="624" customFormat="false" ht="15" hidden="false" customHeight="false" outlineLevel="0" collapsed="false">
      <c r="A624" s="34"/>
      <c r="B624" s="9"/>
      <c r="C624" s="9"/>
      <c r="D624" s="9"/>
      <c r="E624" s="9"/>
      <c r="F624" s="9"/>
      <c r="G624" s="35"/>
      <c r="H624" s="9"/>
    </row>
    <row r="625" customFormat="false" ht="15" hidden="false" customHeight="false" outlineLevel="0" collapsed="false">
      <c r="A625" s="34"/>
      <c r="B625" s="9"/>
      <c r="C625" s="9"/>
      <c r="D625" s="9"/>
      <c r="E625" s="9"/>
      <c r="F625" s="9"/>
      <c r="G625" s="35"/>
      <c r="H625" s="9"/>
    </row>
    <row r="626" customFormat="false" ht="15" hidden="false" customHeight="false" outlineLevel="0" collapsed="false">
      <c r="A626" s="34"/>
      <c r="B626" s="9"/>
      <c r="C626" s="9"/>
      <c r="D626" s="9"/>
      <c r="E626" s="9"/>
      <c r="F626" s="9"/>
      <c r="G626" s="35"/>
      <c r="H626" s="9"/>
    </row>
    <row r="627" customFormat="false" ht="15" hidden="false" customHeight="false" outlineLevel="0" collapsed="false">
      <c r="A627" s="34"/>
      <c r="B627" s="9"/>
      <c r="C627" s="9"/>
      <c r="D627" s="9"/>
      <c r="E627" s="9"/>
      <c r="F627" s="9"/>
      <c r="G627" s="35"/>
      <c r="H627" s="9"/>
    </row>
    <row r="628" customFormat="false" ht="15" hidden="false" customHeight="false" outlineLevel="0" collapsed="false">
      <c r="A628" s="34"/>
      <c r="B628" s="9"/>
      <c r="C628" s="9"/>
      <c r="D628" s="9"/>
      <c r="E628" s="9"/>
      <c r="F628" s="9"/>
      <c r="G628" s="35"/>
      <c r="H628" s="9"/>
    </row>
    <row r="629" customFormat="false" ht="15" hidden="false" customHeight="false" outlineLevel="0" collapsed="false">
      <c r="A629" s="34"/>
      <c r="B629" s="9"/>
      <c r="C629" s="9"/>
      <c r="D629" s="9"/>
      <c r="E629" s="9"/>
      <c r="F629" s="9"/>
      <c r="G629" s="35"/>
      <c r="H629" s="9"/>
    </row>
    <row r="630" customFormat="false" ht="15" hidden="false" customHeight="false" outlineLevel="0" collapsed="false">
      <c r="A630" s="34"/>
      <c r="B630" s="9"/>
      <c r="C630" s="9"/>
      <c r="D630" s="9"/>
      <c r="E630" s="9"/>
      <c r="F630" s="9"/>
      <c r="G630" s="35"/>
      <c r="H630" s="9"/>
    </row>
    <row r="631" customFormat="false" ht="15" hidden="false" customHeight="false" outlineLevel="0" collapsed="false">
      <c r="A631" s="34"/>
      <c r="B631" s="9"/>
      <c r="C631" s="9"/>
      <c r="D631" s="9"/>
      <c r="E631" s="9"/>
      <c r="F631" s="9"/>
      <c r="G631" s="35"/>
      <c r="H631" s="9"/>
    </row>
    <row r="632" customFormat="false" ht="15" hidden="false" customHeight="false" outlineLevel="0" collapsed="false">
      <c r="A632" s="34"/>
      <c r="B632" s="9"/>
      <c r="C632" s="9"/>
      <c r="D632" s="9"/>
      <c r="E632" s="9"/>
      <c r="F632" s="9"/>
      <c r="G632" s="35"/>
      <c r="H632" s="9"/>
    </row>
    <row r="633" customFormat="false" ht="15" hidden="false" customHeight="false" outlineLevel="0" collapsed="false">
      <c r="A633" s="34"/>
      <c r="B633" s="9"/>
      <c r="C633" s="9"/>
      <c r="D633" s="9"/>
      <c r="E633" s="9"/>
      <c r="F633" s="9"/>
      <c r="G633" s="35"/>
      <c r="H633" s="9"/>
    </row>
    <row r="634" customFormat="false" ht="15" hidden="false" customHeight="false" outlineLevel="0" collapsed="false">
      <c r="A634" s="34"/>
      <c r="B634" s="9"/>
      <c r="C634" s="9"/>
      <c r="D634" s="9"/>
      <c r="E634" s="9"/>
      <c r="F634" s="9"/>
      <c r="G634" s="35"/>
      <c r="H634" s="9"/>
    </row>
    <row r="635" customFormat="false" ht="15" hidden="false" customHeight="false" outlineLevel="0" collapsed="false">
      <c r="A635" s="34"/>
      <c r="B635" s="9"/>
      <c r="C635" s="9"/>
      <c r="D635" s="9"/>
      <c r="E635" s="9"/>
      <c r="F635" s="9"/>
      <c r="G635" s="35"/>
      <c r="H635" s="9"/>
    </row>
    <row r="636" customFormat="false" ht="15" hidden="false" customHeight="false" outlineLevel="0" collapsed="false">
      <c r="A636" s="34"/>
      <c r="B636" s="9"/>
      <c r="C636" s="9"/>
      <c r="D636" s="9"/>
      <c r="E636" s="9"/>
      <c r="F636" s="9"/>
      <c r="G636" s="35"/>
      <c r="H636" s="9"/>
    </row>
    <row r="637" customFormat="false" ht="15" hidden="false" customHeight="false" outlineLevel="0" collapsed="false">
      <c r="A637" s="34"/>
      <c r="B637" s="9"/>
      <c r="C637" s="9"/>
      <c r="D637" s="9"/>
      <c r="E637" s="9"/>
      <c r="F637" s="9"/>
      <c r="G637" s="35"/>
      <c r="H637" s="9"/>
    </row>
    <row r="638" customFormat="false" ht="15" hidden="false" customHeight="false" outlineLevel="0" collapsed="false">
      <c r="A638" s="34"/>
      <c r="B638" s="9"/>
      <c r="C638" s="9"/>
      <c r="D638" s="9"/>
      <c r="E638" s="9"/>
      <c r="F638" s="9"/>
      <c r="G638" s="35"/>
      <c r="H638" s="9"/>
    </row>
    <row r="639" customFormat="false" ht="15" hidden="false" customHeight="false" outlineLevel="0" collapsed="false">
      <c r="A639" s="34"/>
      <c r="B639" s="9"/>
      <c r="C639" s="9"/>
      <c r="D639" s="9"/>
      <c r="E639" s="9"/>
      <c r="F639" s="9"/>
      <c r="G639" s="35"/>
      <c r="H639" s="9"/>
    </row>
    <row r="640" customFormat="false" ht="15" hidden="false" customHeight="false" outlineLevel="0" collapsed="false">
      <c r="A640" s="34"/>
      <c r="B640" s="9"/>
      <c r="C640" s="9"/>
      <c r="D640" s="9"/>
      <c r="E640" s="9"/>
      <c r="F640" s="9"/>
      <c r="G640" s="35"/>
      <c r="H640" s="9"/>
    </row>
    <row r="641" customFormat="false" ht="15" hidden="false" customHeight="false" outlineLevel="0" collapsed="false">
      <c r="A641" s="34"/>
      <c r="B641" s="9"/>
      <c r="C641" s="9"/>
      <c r="D641" s="9"/>
      <c r="E641" s="9"/>
      <c r="F641" s="9"/>
      <c r="G641" s="35"/>
      <c r="H641" s="9"/>
    </row>
    <row r="642" customFormat="false" ht="15" hidden="false" customHeight="false" outlineLevel="0" collapsed="false">
      <c r="A642" s="34"/>
      <c r="B642" s="9"/>
      <c r="C642" s="9"/>
      <c r="D642" s="9"/>
      <c r="E642" s="9"/>
      <c r="F642" s="9"/>
      <c r="G642" s="35"/>
      <c r="H642" s="9"/>
    </row>
    <row r="643" customFormat="false" ht="15" hidden="false" customHeight="false" outlineLevel="0" collapsed="false">
      <c r="A643" s="34"/>
      <c r="B643" s="9"/>
      <c r="C643" s="9"/>
      <c r="D643" s="9"/>
      <c r="E643" s="9"/>
      <c r="F643" s="9"/>
      <c r="G643" s="35"/>
      <c r="H643" s="9"/>
    </row>
    <row r="644" customFormat="false" ht="15" hidden="false" customHeight="false" outlineLevel="0" collapsed="false">
      <c r="A644" s="34"/>
      <c r="B644" s="9"/>
      <c r="C644" s="9"/>
      <c r="D644" s="9"/>
      <c r="E644" s="9"/>
      <c r="F644" s="9"/>
      <c r="G644" s="35"/>
      <c r="H644" s="9"/>
    </row>
    <row r="645" customFormat="false" ht="15" hidden="false" customHeight="false" outlineLevel="0" collapsed="false">
      <c r="A645" s="34"/>
      <c r="B645" s="9"/>
      <c r="C645" s="9"/>
      <c r="D645" s="9"/>
      <c r="E645" s="9"/>
      <c r="F645" s="9"/>
      <c r="G645" s="35"/>
      <c r="H645" s="9"/>
    </row>
    <row r="646" customFormat="false" ht="15" hidden="false" customHeight="false" outlineLevel="0" collapsed="false">
      <c r="A646" s="34"/>
      <c r="B646" s="9"/>
      <c r="C646" s="9"/>
      <c r="D646" s="9"/>
      <c r="E646" s="9"/>
      <c r="F646" s="9"/>
      <c r="G646" s="35"/>
      <c r="H646" s="9"/>
    </row>
    <row r="647" customFormat="false" ht="15" hidden="false" customHeight="false" outlineLevel="0" collapsed="false">
      <c r="A647" s="34"/>
      <c r="B647" s="9"/>
      <c r="C647" s="9"/>
      <c r="D647" s="9"/>
      <c r="E647" s="9"/>
      <c r="F647" s="9"/>
      <c r="G647" s="35"/>
      <c r="H647" s="9"/>
    </row>
    <row r="648" customFormat="false" ht="15" hidden="false" customHeight="false" outlineLevel="0" collapsed="false">
      <c r="A648" s="34"/>
      <c r="B648" s="9"/>
      <c r="C648" s="9"/>
      <c r="D648" s="9"/>
      <c r="E648" s="9"/>
      <c r="F648" s="9"/>
      <c r="G648" s="35"/>
      <c r="H648" s="9"/>
    </row>
    <row r="649" customFormat="false" ht="15" hidden="false" customHeight="false" outlineLevel="0" collapsed="false">
      <c r="A649" s="34"/>
      <c r="B649" s="9"/>
      <c r="C649" s="9"/>
      <c r="D649" s="9"/>
      <c r="E649" s="9"/>
      <c r="F649" s="9"/>
      <c r="G649" s="35"/>
      <c r="H649" s="9"/>
    </row>
    <row r="650" customFormat="false" ht="15" hidden="false" customHeight="false" outlineLevel="0" collapsed="false">
      <c r="A650" s="34"/>
      <c r="B650" s="9"/>
      <c r="C650" s="9"/>
      <c r="D650" s="9"/>
      <c r="E650" s="9"/>
      <c r="F650" s="9"/>
      <c r="G650" s="35"/>
      <c r="H650" s="9"/>
    </row>
    <row r="651" customFormat="false" ht="15" hidden="false" customHeight="false" outlineLevel="0" collapsed="false">
      <c r="A651" s="34"/>
      <c r="B651" s="9"/>
      <c r="C651" s="9"/>
      <c r="D651" s="9"/>
      <c r="E651" s="9"/>
      <c r="F651" s="9"/>
      <c r="G651" s="35"/>
      <c r="H651" s="9"/>
    </row>
    <row r="652" customFormat="false" ht="15" hidden="false" customHeight="false" outlineLevel="0" collapsed="false">
      <c r="A652" s="34"/>
      <c r="B652" s="9"/>
      <c r="C652" s="9"/>
      <c r="D652" s="9"/>
      <c r="E652" s="9"/>
      <c r="F652" s="9"/>
      <c r="G652" s="35"/>
      <c r="H652" s="9"/>
    </row>
    <row r="653" customFormat="false" ht="15" hidden="false" customHeight="false" outlineLevel="0" collapsed="false">
      <c r="A653" s="34"/>
      <c r="B653" s="9"/>
      <c r="C653" s="9"/>
      <c r="D653" s="9"/>
      <c r="E653" s="9"/>
      <c r="F653" s="9"/>
      <c r="G653" s="35"/>
      <c r="H653" s="9"/>
    </row>
    <row r="654" customFormat="false" ht="15" hidden="false" customHeight="false" outlineLevel="0" collapsed="false">
      <c r="A654" s="34"/>
      <c r="B654" s="9"/>
      <c r="C654" s="9"/>
      <c r="D654" s="9"/>
      <c r="E654" s="9"/>
      <c r="F654" s="9"/>
      <c r="G654" s="35"/>
      <c r="H654" s="9"/>
    </row>
    <row r="655" customFormat="false" ht="15" hidden="false" customHeight="false" outlineLevel="0" collapsed="false">
      <c r="A655" s="34"/>
      <c r="B655" s="9"/>
      <c r="C655" s="9"/>
      <c r="D655" s="9"/>
      <c r="E655" s="9"/>
      <c r="F655" s="9"/>
      <c r="G655" s="35"/>
      <c r="H655" s="9"/>
    </row>
    <row r="656" customFormat="false" ht="15" hidden="false" customHeight="false" outlineLevel="0" collapsed="false">
      <c r="A656" s="34"/>
      <c r="B656" s="9"/>
      <c r="C656" s="9"/>
      <c r="D656" s="9"/>
      <c r="E656" s="9"/>
      <c r="F656" s="9"/>
      <c r="G656" s="35"/>
      <c r="H656" s="9"/>
    </row>
    <row r="657" customFormat="false" ht="15" hidden="false" customHeight="false" outlineLevel="0" collapsed="false">
      <c r="A657" s="34"/>
      <c r="B657" s="9"/>
      <c r="C657" s="9"/>
      <c r="D657" s="9"/>
      <c r="E657" s="9"/>
      <c r="F657" s="9"/>
      <c r="G657" s="35"/>
      <c r="H657" s="9"/>
    </row>
    <row r="658" customFormat="false" ht="15" hidden="false" customHeight="false" outlineLevel="0" collapsed="false">
      <c r="A658" s="34"/>
      <c r="B658" s="9"/>
      <c r="C658" s="9"/>
      <c r="D658" s="9"/>
      <c r="E658" s="9"/>
      <c r="F658" s="9"/>
      <c r="G658" s="35"/>
      <c r="H658" s="9"/>
    </row>
    <row r="659" customFormat="false" ht="15" hidden="false" customHeight="false" outlineLevel="0" collapsed="false">
      <c r="A659" s="34"/>
      <c r="B659" s="9"/>
      <c r="C659" s="9"/>
      <c r="D659" s="9"/>
      <c r="E659" s="9"/>
      <c r="F659" s="9"/>
      <c r="G659" s="35"/>
      <c r="H659" s="9"/>
    </row>
    <row r="660" customFormat="false" ht="15" hidden="false" customHeight="false" outlineLevel="0" collapsed="false">
      <c r="A660" s="34"/>
      <c r="B660" s="9"/>
      <c r="C660" s="9"/>
      <c r="D660" s="9"/>
      <c r="E660" s="9"/>
      <c r="F660" s="9"/>
      <c r="G660" s="35"/>
      <c r="H660" s="9"/>
    </row>
    <row r="661" customFormat="false" ht="15" hidden="false" customHeight="false" outlineLevel="0" collapsed="false">
      <c r="A661" s="34"/>
      <c r="B661" s="9"/>
      <c r="C661" s="9"/>
      <c r="D661" s="9"/>
      <c r="E661" s="9"/>
      <c r="F661" s="9"/>
      <c r="G661" s="35"/>
      <c r="H661" s="9"/>
    </row>
    <row r="662" customFormat="false" ht="15" hidden="false" customHeight="false" outlineLevel="0" collapsed="false">
      <c r="A662" s="34"/>
      <c r="B662" s="9"/>
      <c r="C662" s="9"/>
      <c r="D662" s="9"/>
      <c r="E662" s="9"/>
      <c r="F662" s="9"/>
      <c r="G662" s="35"/>
      <c r="H662" s="9"/>
    </row>
    <row r="663" customFormat="false" ht="15" hidden="false" customHeight="false" outlineLevel="0" collapsed="false">
      <c r="A663" s="34"/>
      <c r="B663" s="9"/>
      <c r="C663" s="9"/>
      <c r="D663" s="9"/>
      <c r="E663" s="9"/>
      <c r="F663" s="9"/>
      <c r="G663" s="35"/>
      <c r="H663" s="9"/>
    </row>
    <row r="664" customFormat="false" ht="15" hidden="false" customHeight="false" outlineLevel="0" collapsed="false">
      <c r="A664" s="34"/>
      <c r="B664" s="9"/>
      <c r="C664" s="9"/>
      <c r="D664" s="9"/>
      <c r="E664" s="9"/>
      <c r="F664" s="9"/>
      <c r="G664" s="35"/>
      <c r="H664" s="9"/>
    </row>
    <row r="665" customFormat="false" ht="15" hidden="false" customHeight="false" outlineLevel="0" collapsed="false">
      <c r="A665" s="34"/>
      <c r="B665" s="9"/>
      <c r="C665" s="9"/>
      <c r="D665" s="9"/>
      <c r="E665" s="9"/>
      <c r="F665" s="9"/>
      <c r="G665" s="35"/>
      <c r="H665" s="9"/>
    </row>
    <row r="666" customFormat="false" ht="15" hidden="false" customHeight="false" outlineLevel="0" collapsed="false">
      <c r="A666" s="34"/>
      <c r="B666" s="9"/>
      <c r="C666" s="9"/>
      <c r="D666" s="9"/>
      <c r="E666" s="9"/>
      <c r="F666" s="9"/>
      <c r="G666" s="35"/>
      <c r="H666" s="9"/>
    </row>
    <row r="667" customFormat="false" ht="15" hidden="false" customHeight="false" outlineLevel="0" collapsed="false">
      <c r="A667" s="34"/>
      <c r="B667" s="9"/>
      <c r="C667" s="9"/>
      <c r="D667" s="9"/>
      <c r="E667" s="9"/>
      <c r="F667" s="9"/>
      <c r="G667" s="35"/>
      <c r="H667" s="9"/>
    </row>
    <row r="668" customFormat="false" ht="15" hidden="false" customHeight="false" outlineLevel="0" collapsed="false">
      <c r="A668" s="34"/>
      <c r="B668" s="9"/>
      <c r="C668" s="9"/>
      <c r="D668" s="9"/>
      <c r="E668" s="9"/>
      <c r="F668" s="9"/>
      <c r="G668" s="35"/>
      <c r="H668" s="9"/>
    </row>
    <row r="669" customFormat="false" ht="15" hidden="false" customHeight="false" outlineLevel="0" collapsed="false">
      <c r="A669" s="34"/>
      <c r="B669" s="9"/>
      <c r="C669" s="9"/>
      <c r="D669" s="9"/>
      <c r="E669" s="9"/>
      <c r="F669" s="9"/>
      <c r="G669" s="35"/>
      <c r="H669" s="9"/>
    </row>
    <row r="670" customFormat="false" ht="15" hidden="false" customHeight="false" outlineLevel="0" collapsed="false">
      <c r="A670" s="34"/>
      <c r="B670" s="9"/>
      <c r="C670" s="9"/>
      <c r="D670" s="9"/>
      <c r="E670" s="9"/>
      <c r="F670" s="9"/>
      <c r="G670" s="35"/>
      <c r="H670" s="9"/>
    </row>
    <row r="671" customFormat="false" ht="15" hidden="false" customHeight="false" outlineLevel="0" collapsed="false">
      <c r="A671" s="34"/>
      <c r="B671" s="9"/>
      <c r="C671" s="9"/>
      <c r="D671" s="9"/>
      <c r="E671" s="9"/>
      <c r="F671" s="9"/>
      <c r="G671" s="35"/>
      <c r="H671" s="9"/>
    </row>
    <row r="672" customFormat="false" ht="15" hidden="false" customHeight="false" outlineLevel="0" collapsed="false">
      <c r="A672" s="34"/>
      <c r="B672" s="9"/>
      <c r="C672" s="9"/>
      <c r="D672" s="9"/>
      <c r="E672" s="9"/>
      <c r="F672" s="9"/>
      <c r="G672" s="35"/>
      <c r="H672" s="9"/>
    </row>
    <row r="673" customFormat="false" ht="15" hidden="false" customHeight="false" outlineLevel="0" collapsed="false">
      <c r="A673" s="34"/>
      <c r="B673" s="9"/>
      <c r="C673" s="9"/>
      <c r="D673" s="9"/>
      <c r="E673" s="9"/>
      <c r="F673" s="9"/>
      <c r="G673" s="35"/>
      <c r="H673" s="9"/>
    </row>
    <row r="674" customFormat="false" ht="15" hidden="false" customHeight="false" outlineLevel="0" collapsed="false">
      <c r="A674" s="34"/>
      <c r="B674" s="9"/>
      <c r="C674" s="9"/>
      <c r="D674" s="9"/>
      <c r="E674" s="9"/>
      <c r="F674" s="9"/>
      <c r="G674" s="35"/>
      <c r="H674" s="9"/>
    </row>
    <row r="675" customFormat="false" ht="15" hidden="false" customHeight="false" outlineLevel="0" collapsed="false">
      <c r="A675" s="34"/>
      <c r="B675" s="9"/>
      <c r="C675" s="9"/>
      <c r="D675" s="9"/>
      <c r="E675" s="9"/>
      <c r="F675" s="9"/>
      <c r="G675" s="35"/>
      <c r="H675" s="9"/>
    </row>
    <row r="676" customFormat="false" ht="15" hidden="false" customHeight="false" outlineLevel="0" collapsed="false">
      <c r="A676" s="34"/>
      <c r="B676" s="9"/>
      <c r="C676" s="9"/>
      <c r="D676" s="9"/>
      <c r="E676" s="9"/>
      <c r="F676" s="9"/>
      <c r="G676" s="35"/>
      <c r="H676" s="9"/>
    </row>
    <row r="677" customFormat="false" ht="15" hidden="false" customHeight="false" outlineLevel="0" collapsed="false">
      <c r="A677" s="34"/>
      <c r="B677" s="9"/>
      <c r="C677" s="9"/>
      <c r="D677" s="9"/>
      <c r="E677" s="9"/>
      <c r="F677" s="9"/>
      <c r="G677" s="35"/>
      <c r="H677" s="9"/>
    </row>
    <row r="678" customFormat="false" ht="15" hidden="false" customHeight="false" outlineLevel="0" collapsed="false">
      <c r="A678" s="34"/>
      <c r="B678" s="9"/>
      <c r="C678" s="9"/>
      <c r="D678" s="9"/>
      <c r="E678" s="9"/>
      <c r="F678" s="9"/>
      <c r="G678" s="35"/>
      <c r="H678" s="9"/>
    </row>
    <row r="679" customFormat="false" ht="15" hidden="false" customHeight="false" outlineLevel="0" collapsed="false">
      <c r="A679" s="34"/>
      <c r="B679" s="9"/>
      <c r="C679" s="9"/>
      <c r="D679" s="9"/>
      <c r="E679" s="9"/>
      <c r="F679" s="9"/>
      <c r="G679" s="35"/>
      <c r="H679" s="9"/>
    </row>
    <row r="680" customFormat="false" ht="15" hidden="false" customHeight="false" outlineLevel="0" collapsed="false">
      <c r="A680" s="34"/>
      <c r="B680" s="9"/>
      <c r="C680" s="9"/>
      <c r="D680" s="9"/>
      <c r="E680" s="9"/>
      <c r="F680" s="9"/>
      <c r="G680" s="35"/>
      <c r="H680" s="9"/>
    </row>
    <row r="681" customFormat="false" ht="15" hidden="false" customHeight="false" outlineLevel="0" collapsed="false">
      <c r="A681" s="34"/>
      <c r="B681" s="9"/>
      <c r="C681" s="9"/>
      <c r="D681" s="9"/>
      <c r="E681" s="9"/>
      <c r="F681" s="9"/>
      <c r="G681" s="35"/>
      <c r="H681" s="9"/>
    </row>
    <row r="682" customFormat="false" ht="15" hidden="false" customHeight="false" outlineLevel="0" collapsed="false">
      <c r="A682" s="34"/>
      <c r="B682" s="9"/>
      <c r="C682" s="9"/>
      <c r="D682" s="9"/>
      <c r="E682" s="9"/>
      <c r="F682" s="9"/>
      <c r="G682" s="35"/>
      <c r="H682" s="9"/>
    </row>
    <row r="683" customFormat="false" ht="15" hidden="false" customHeight="false" outlineLevel="0" collapsed="false">
      <c r="A683" s="34"/>
      <c r="B683" s="9"/>
      <c r="C683" s="9"/>
      <c r="D683" s="9"/>
      <c r="E683" s="9"/>
      <c r="F683" s="9"/>
      <c r="G683" s="35"/>
      <c r="H683" s="9"/>
    </row>
    <row r="684" customFormat="false" ht="15" hidden="false" customHeight="false" outlineLevel="0" collapsed="false">
      <c r="A684" s="34"/>
      <c r="B684" s="9"/>
      <c r="C684" s="9"/>
      <c r="D684" s="9"/>
      <c r="E684" s="9"/>
      <c r="F684" s="9"/>
      <c r="G684" s="35"/>
      <c r="H684" s="9"/>
    </row>
    <row r="685" customFormat="false" ht="15" hidden="false" customHeight="false" outlineLevel="0" collapsed="false">
      <c r="A685" s="34"/>
      <c r="B685" s="9"/>
      <c r="C685" s="9"/>
      <c r="D685" s="9"/>
      <c r="E685" s="9"/>
      <c r="F685" s="9"/>
      <c r="G685" s="35"/>
      <c r="H685" s="9"/>
    </row>
    <row r="686" customFormat="false" ht="15" hidden="false" customHeight="false" outlineLevel="0" collapsed="false">
      <c r="A686" s="34"/>
      <c r="B686" s="9"/>
      <c r="C686" s="9"/>
      <c r="D686" s="9"/>
      <c r="E686" s="9"/>
      <c r="F686" s="9"/>
      <c r="G686" s="35"/>
      <c r="H686" s="9"/>
    </row>
    <row r="687" customFormat="false" ht="15" hidden="false" customHeight="false" outlineLevel="0" collapsed="false">
      <c r="A687" s="34"/>
      <c r="B687" s="9"/>
      <c r="C687" s="9"/>
      <c r="D687" s="9"/>
      <c r="E687" s="9"/>
      <c r="F687" s="9"/>
      <c r="G687" s="35"/>
      <c r="H687" s="9"/>
    </row>
    <row r="688" customFormat="false" ht="15" hidden="false" customHeight="false" outlineLevel="0" collapsed="false">
      <c r="A688" s="34"/>
      <c r="B688" s="9"/>
      <c r="C688" s="9"/>
      <c r="D688" s="9"/>
      <c r="E688" s="9"/>
      <c r="F688" s="9"/>
      <c r="G688" s="35"/>
      <c r="H688" s="9"/>
    </row>
    <row r="689" customFormat="false" ht="15" hidden="false" customHeight="false" outlineLevel="0" collapsed="false">
      <c r="A689" s="34"/>
      <c r="B689" s="9"/>
      <c r="C689" s="9"/>
      <c r="D689" s="9"/>
      <c r="E689" s="9"/>
      <c r="F689" s="9"/>
      <c r="G689" s="35"/>
      <c r="H689" s="9"/>
    </row>
    <row r="690" customFormat="false" ht="15" hidden="false" customHeight="false" outlineLevel="0" collapsed="false">
      <c r="A690" s="34"/>
      <c r="B690" s="9"/>
      <c r="C690" s="9"/>
      <c r="D690" s="9"/>
      <c r="E690" s="9"/>
      <c r="F690" s="9"/>
      <c r="G690" s="35"/>
      <c r="H690" s="9"/>
    </row>
    <row r="691" customFormat="false" ht="15" hidden="false" customHeight="false" outlineLevel="0" collapsed="false">
      <c r="A691" s="34"/>
      <c r="B691" s="9"/>
      <c r="C691" s="9"/>
      <c r="D691" s="9"/>
      <c r="E691" s="9"/>
      <c r="F691" s="9"/>
      <c r="G691" s="35"/>
      <c r="H691" s="9"/>
    </row>
    <row r="692" customFormat="false" ht="15" hidden="false" customHeight="false" outlineLevel="0" collapsed="false">
      <c r="A692" s="34"/>
      <c r="B692" s="9"/>
      <c r="C692" s="9"/>
      <c r="D692" s="9"/>
      <c r="E692" s="9"/>
      <c r="F692" s="9"/>
      <c r="G692" s="35"/>
      <c r="H692" s="9"/>
    </row>
    <row r="693" customFormat="false" ht="15" hidden="false" customHeight="false" outlineLevel="0" collapsed="false">
      <c r="A693" s="34"/>
      <c r="B693" s="9"/>
      <c r="C693" s="9"/>
      <c r="D693" s="9"/>
      <c r="E693" s="9"/>
      <c r="F693" s="9"/>
      <c r="G693" s="35"/>
      <c r="H693" s="9"/>
    </row>
    <row r="694" customFormat="false" ht="15" hidden="false" customHeight="false" outlineLevel="0" collapsed="false">
      <c r="A694" s="34"/>
      <c r="B694" s="9"/>
      <c r="C694" s="9"/>
      <c r="D694" s="9"/>
      <c r="E694" s="9"/>
      <c r="F694" s="9"/>
      <c r="G694" s="35"/>
      <c r="H694" s="9"/>
    </row>
    <row r="695" customFormat="false" ht="15" hidden="false" customHeight="false" outlineLevel="0" collapsed="false">
      <c r="A695" s="34"/>
      <c r="B695" s="9"/>
      <c r="C695" s="9"/>
      <c r="D695" s="9"/>
      <c r="E695" s="9"/>
      <c r="F695" s="9"/>
      <c r="G695" s="35"/>
      <c r="H695" s="9"/>
    </row>
    <row r="696" customFormat="false" ht="15" hidden="false" customHeight="false" outlineLevel="0" collapsed="false">
      <c r="A696" s="34"/>
      <c r="B696" s="9"/>
      <c r="C696" s="9"/>
      <c r="D696" s="9"/>
      <c r="E696" s="9"/>
      <c r="F696" s="9"/>
      <c r="G696" s="35"/>
      <c r="H696" s="9"/>
    </row>
    <row r="697" customFormat="false" ht="15" hidden="false" customHeight="false" outlineLevel="0" collapsed="false">
      <c r="A697" s="34"/>
      <c r="B697" s="9"/>
      <c r="C697" s="9"/>
      <c r="D697" s="9"/>
      <c r="E697" s="9"/>
      <c r="F697" s="9"/>
      <c r="G697" s="35"/>
      <c r="H697" s="9"/>
    </row>
    <row r="698" customFormat="false" ht="15" hidden="false" customHeight="false" outlineLevel="0" collapsed="false">
      <c r="A698" s="34"/>
      <c r="B698" s="9"/>
      <c r="C698" s="9"/>
      <c r="D698" s="9"/>
      <c r="E698" s="9"/>
      <c r="F698" s="9"/>
      <c r="G698" s="35"/>
      <c r="H698" s="9"/>
    </row>
    <row r="699" customFormat="false" ht="15" hidden="false" customHeight="false" outlineLevel="0" collapsed="false">
      <c r="A699" s="34"/>
      <c r="B699" s="9"/>
      <c r="C699" s="9"/>
      <c r="D699" s="9"/>
      <c r="E699" s="9"/>
      <c r="F699" s="9"/>
      <c r="G699" s="35"/>
      <c r="H699" s="9"/>
    </row>
    <row r="700" customFormat="false" ht="15" hidden="false" customHeight="false" outlineLevel="0" collapsed="false">
      <c r="A700" s="34"/>
      <c r="B700" s="9"/>
      <c r="C700" s="9"/>
      <c r="D700" s="9"/>
      <c r="E700" s="9"/>
      <c r="F700" s="9"/>
      <c r="G700" s="35"/>
      <c r="H700" s="9"/>
    </row>
    <row r="701" customFormat="false" ht="15" hidden="false" customHeight="false" outlineLevel="0" collapsed="false">
      <c r="A701" s="34"/>
      <c r="B701" s="9"/>
      <c r="C701" s="9"/>
      <c r="D701" s="9"/>
      <c r="E701" s="9"/>
      <c r="F701" s="9"/>
      <c r="G701" s="35"/>
      <c r="H701" s="9"/>
    </row>
    <row r="702" customFormat="false" ht="15" hidden="false" customHeight="false" outlineLevel="0" collapsed="false">
      <c r="A702" s="34"/>
      <c r="B702" s="9"/>
      <c r="C702" s="9"/>
      <c r="D702" s="9"/>
      <c r="E702" s="9"/>
      <c r="F702" s="9"/>
      <c r="G702" s="35"/>
      <c r="H702" s="9"/>
    </row>
    <row r="703" customFormat="false" ht="15" hidden="false" customHeight="false" outlineLevel="0" collapsed="false">
      <c r="A703" s="34"/>
      <c r="B703" s="9"/>
      <c r="C703" s="9"/>
      <c r="D703" s="9"/>
      <c r="E703" s="9"/>
      <c r="F703" s="9"/>
      <c r="G703" s="35"/>
      <c r="H703" s="9"/>
    </row>
    <row r="704" customFormat="false" ht="15" hidden="false" customHeight="false" outlineLevel="0" collapsed="false">
      <c r="A704" s="34"/>
      <c r="B704" s="9"/>
      <c r="C704" s="9"/>
      <c r="D704" s="9"/>
      <c r="E704" s="9"/>
      <c r="F704" s="9"/>
      <c r="G704" s="35"/>
      <c r="H704" s="9"/>
    </row>
    <row r="705" customFormat="false" ht="15" hidden="false" customHeight="false" outlineLevel="0" collapsed="false">
      <c r="A705" s="34"/>
      <c r="B705" s="9"/>
      <c r="C705" s="9"/>
      <c r="D705" s="9"/>
      <c r="E705" s="9"/>
      <c r="F705" s="9"/>
      <c r="G705" s="35"/>
      <c r="H705" s="9"/>
    </row>
    <row r="706" customFormat="false" ht="15" hidden="false" customHeight="false" outlineLevel="0" collapsed="false">
      <c r="A706" s="34"/>
      <c r="B706" s="9"/>
      <c r="C706" s="9"/>
      <c r="D706" s="9"/>
      <c r="E706" s="9"/>
      <c r="F706" s="9"/>
      <c r="G706" s="35"/>
      <c r="H706" s="9"/>
    </row>
    <row r="707" customFormat="false" ht="15" hidden="false" customHeight="false" outlineLevel="0" collapsed="false">
      <c r="A707" s="34"/>
      <c r="B707" s="9"/>
      <c r="C707" s="9"/>
      <c r="D707" s="9"/>
      <c r="E707" s="9"/>
      <c r="F707" s="9"/>
      <c r="G707" s="35"/>
      <c r="H707" s="9"/>
    </row>
    <row r="708" customFormat="false" ht="15" hidden="false" customHeight="false" outlineLevel="0" collapsed="false">
      <c r="A708" s="34"/>
      <c r="B708" s="9"/>
      <c r="C708" s="9"/>
      <c r="D708" s="9"/>
      <c r="E708" s="9"/>
      <c r="F708" s="9"/>
      <c r="G708" s="35"/>
      <c r="H708" s="9"/>
    </row>
    <row r="709" customFormat="false" ht="15" hidden="false" customHeight="false" outlineLevel="0" collapsed="false">
      <c r="A709" s="34"/>
      <c r="B709" s="9"/>
      <c r="C709" s="9"/>
      <c r="D709" s="9"/>
      <c r="E709" s="9"/>
      <c r="F709" s="9"/>
      <c r="G709" s="35"/>
      <c r="H709" s="9"/>
    </row>
    <row r="710" customFormat="false" ht="15" hidden="false" customHeight="false" outlineLevel="0" collapsed="false">
      <c r="A710" s="34"/>
      <c r="B710" s="9"/>
      <c r="C710" s="9"/>
      <c r="D710" s="9"/>
      <c r="E710" s="9"/>
      <c r="F710" s="9"/>
      <c r="G710" s="35"/>
      <c r="H710" s="9"/>
    </row>
    <row r="711" customFormat="false" ht="15" hidden="false" customHeight="false" outlineLevel="0" collapsed="false">
      <c r="A711" s="34"/>
      <c r="B711" s="9"/>
      <c r="C711" s="9"/>
      <c r="D711" s="9"/>
      <c r="E711" s="9"/>
      <c r="F711" s="9"/>
      <c r="G711" s="35"/>
      <c r="H711" s="9"/>
    </row>
    <row r="712" customFormat="false" ht="15" hidden="false" customHeight="false" outlineLevel="0" collapsed="false">
      <c r="A712" s="34"/>
      <c r="B712" s="9"/>
      <c r="C712" s="9"/>
      <c r="D712" s="9"/>
      <c r="E712" s="9"/>
      <c r="F712" s="9"/>
      <c r="G712" s="35"/>
      <c r="H712" s="9"/>
    </row>
    <row r="713" customFormat="false" ht="15" hidden="false" customHeight="false" outlineLevel="0" collapsed="false">
      <c r="A713" s="34"/>
      <c r="B713" s="9"/>
      <c r="C713" s="9"/>
      <c r="D713" s="9"/>
      <c r="E713" s="9"/>
      <c r="F713" s="9"/>
      <c r="G713" s="35"/>
      <c r="H713" s="9"/>
    </row>
    <row r="714" customFormat="false" ht="15" hidden="false" customHeight="false" outlineLevel="0" collapsed="false">
      <c r="A714" s="34"/>
      <c r="B714" s="9"/>
      <c r="C714" s="9"/>
      <c r="D714" s="9"/>
      <c r="E714" s="9"/>
      <c r="F714" s="9"/>
      <c r="G714" s="35"/>
      <c r="H714" s="9"/>
    </row>
    <row r="715" customFormat="false" ht="15" hidden="false" customHeight="false" outlineLevel="0" collapsed="false">
      <c r="A715" s="34"/>
      <c r="B715" s="9"/>
      <c r="C715" s="9"/>
      <c r="D715" s="9"/>
      <c r="E715" s="9"/>
      <c r="F715" s="9"/>
      <c r="G715" s="35"/>
      <c r="H715" s="9"/>
    </row>
    <row r="716" customFormat="false" ht="15" hidden="false" customHeight="false" outlineLevel="0" collapsed="false">
      <c r="A716" s="34"/>
      <c r="B716" s="9"/>
      <c r="C716" s="9"/>
      <c r="D716" s="9"/>
      <c r="E716" s="9"/>
      <c r="F716" s="9"/>
      <c r="G716" s="35"/>
      <c r="H716" s="9"/>
    </row>
    <row r="717" customFormat="false" ht="15" hidden="false" customHeight="false" outlineLevel="0" collapsed="false">
      <c r="A717" s="34"/>
      <c r="B717" s="9"/>
      <c r="C717" s="9"/>
      <c r="D717" s="9"/>
      <c r="E717" s="9"/>
      <c r="F717" s="9"/>
      <c r="G717" s="35"/>
      <c r="H717" s="9"/>
    </row>
    <row r="718" customFormat="false" ht="15" hidden="false" customHeight="false" outlineLevel="0" collapsed="false">
      <c r="A718" s="34"/>
      <c r="B718" s="9"/>
      <c r="C718" s="9"/>
      <c r="D718" s="9"/>
      <c r="E718" s="9"/>
      <c r="F718" s="9"/>
      <c r="G718" s="35"/>
      <c r="H718" s="9"/>
    </row>
    <row r="719" customFormat="false" ht="15" hidden="false" customHeight="false" outlineLevel="0" collapsed="false">
      <c r="A719" s="34"/>
      <c r="B719" s="9"/>
      <c r="C719" s="9"/>
      <c r="D719" s="9"/>
      <c r="E719" s="9"/>
      <c r="F719" s="9"/>
      <c r="G719" s="35"/>
      <c r="H719" s="9"/>
    </row>
    <row r="720" customFormat="false" ht="15" hidden="false" customHeight="false" outlineLevel="0" collapsed="false">
      <c r="A720" s="34"/>
      <c r="B720" s="9"/>
      <c r="C720" s="9"/>
      <c r="D720" s="9"/>
      <c r="E720" s="9"/>
      <c r="F720" s="9"/>
      <c r="G720" s="35"/>
      <c r="H720" s="9"/>
    </row>
    <row r="721" customFormat="false" ht="15" hidden="false" customHeight="false" outlineLevel="0" collapsed="false">
      <c r="A721" s="34"/>
      <c r="B721" s="9"/>
      <c r="C721" s="9"/>
      <c r="D721" s="9"/>
      <c r="E721" s="9"/>
      <c r="F721" s="9"/>
      <c r="G721" s="35"/>
      <c r="H721" s="9"/>
    </row>
    <row r="722" customFormat="false" ht="15" hidden="false" customHeight="false" outlineLevel="0" collapsed="false">
      <c r="A722" s="34"/>
      <c r="B722" s="9"/>
      <c r="C722" s="9"/>
      <c r="D722" s="9"/>
      <c r="E722" s="9"/>
      <c r="F722" s="9"/>
      <c r="G722" s="35"/>
      <c r="H722" s="9"/>
    </row>
    <row r="723" customFormat="false" ht="15" hidden="false" customHeight="false" outlineLevel="0" collapsed="false">
      <c r="A723" s="34"/>
      <c r="B723" s="9"/>
      <c r="C723" s="9"/>
      <c r="D723" s="9"/>
      <c r="E723" s="9"/>
      <c r="F723" s="9"/>
      <c r="G723" s="35"/>
      <c r="H723" s="9"/>
    </row>
    <row r="724" customFormat="false" ht="15" hidden="false" customHeight="false" outlineLevel="0" collapsed="false">
      <c r="A724" s="34"/>
      <c r="B724" s="9"/>
      <c r="C724" s="9"/>
      <c r="D724" s="9"/>
      <c r="E724" s="9"/>
      <c r="F724" s="9"/>
      <c r="G724" s="35"/>
      <c r="H724" s="9"/>
    </row>
    <row r="725" customFormat="false" ht="15" hidden="false" customHeight="false" outlineLevel="0" collapsed="false">
      <c r="A725" s="34"/>
      <c r="B725" s="9"/>
      <c r="C725" s="9"/>
      <c r="D725" s="9"/>
      <c r="E725" s="9"/>
      <c r="F725" s="9"/>
      <c r="G725" s="35"/>
      <c r="H725" s="9"/>
    </row>
    <row r="726" customFormat="false" ht="15" hidden="false" customHeight="false" outlineLevel="0" collapsed="false">
      <c r="A726" s="34"/>
      <c r="B726" s="9"/>
      <c r="C726" s="9"/>
      <c r="D726" s="9"/>
      <c r="E726" s="9"/>
      <c r="F726" s="9"/>
      <c r="G726" s="35"/>
      <c r="H726" s="9"/>
    </row>
    <row r="727" customFormat="false" ht="15" hidden="false" customHeight="false" outlineLevel="0" collapsed="false">
      <c r="A727" s="34"/>
      <c r="B727" s="9"/>
      <c r="C727" s="9"/>
      <c r="D727" s="9"/>
      <c r="E727" s="9"/>
      <c r="F727" s="9"/>
      <c r="G727" s="35"/>
      <c r="H727" s="9"/>
    </row>
    <row r="728" customFormat="false" ht="15" hidden="false" customHeight="false" outlineLevel="0" collapsed="false">
      <c r="A728" s="34"/>
      <c r="B728" s="9"/>
      <c r="C728" s="9"/>
      <c r="D728" s="9"/>
      <c r="E728" s="9"/>
      <c r="F728" s="9"/>
      <c r="G728" s="35"/>
      <c r="H728" s="9"/>
    </row>
    <row r="729" customFormat="false" ht="15" hidden="false" customHeight="false" outlineLevel="0" collapsed="false">
      <c r="A729" s="34"/>
      <c r="B729" s="9"/>
      <c r="C729" s="9"/>
      <c r="D729" s="9"/>
      <c r="E729" s="9"/>
      <c r="F729" s="9"/>
      <c r="G729" s="35"/>
      <c r="H729" s="9"/>
    </row>
    <row r="730" customFormat="false" ht="15" hidden="false" customHeight="false" outlineLevel="0" collapsed="false">
      <c r="A730" s="34"/>
      <c r="B730" s="9"/>
      <c r="C730" s="9"/>
      <c r="D730" s="9"/>
      <c r="E730" s="9"/>
      <c r="F730" s="9"/>
      <c r="G730" s="35"/>
      <c r="H730" s="9"/>
    </row>
    <row r="731" customFormat="false" ht="15" hidden="false" customHeight="false" outlineLevel="0" collapsed="false">
      <c r="A731" s="34"/>
      <c r="B731" s="9"/>
      <c r="C731" s="9"/>
      <c r="D731" s="9"/>
      <c r="E731" s="9"/>
      <c r="F731" s="9"/>
      <c r="G731" s="35"/>
      <c r="H731" s="9"/>
    </row>
    <row r="732" customFormat="false" ht="15" hidden="false" customHeight="false" outlineLevel="0" collapsed="false">
      <c r="A732" s="34"/>
      <c r="B732" s="9"/>
      <c r="C732" s="9"/>
      <c r="D732" s="9"/>
      <c r="E732" s="9"/>
      <c r="F732" s="9"/>
      <c r="G732" s="35"/>
      <c r="H732" s="9"/>
    </row>
    <row r="733" customFormat="false" ht="15" hidden="false" customHeight="false" outlineLevel="0" collapsed="false">
      <c r="A733" s="34"/>
      <c r="B733" s="9"/>
      <c r="C733" s="9"/>
      <c r="D733" s="9"/>
      <c r="E733" s="9"/>
      <c r="F733" s="9"/>
      <c r="G733" s="35"/>
      <c r="H733" s="9"/>
    </row>
    <row r="734" customFormat="false" ht="15" hidden="false" customHeight="false" outlineLevel="0" collapsed="false">
      <c r="A734" s="34"/>
      <c r="B734" s="9"/>
      <c r="C734" s="9"/>
      <c r="D734" s="9"/>
      <c r="E734" s="9"/>
      <c r="F734" s="9"/>
      <c r="G734" s="35"/>
      <c r="H734" s="9"/>
    </row>
    <row r="735" customFormat="false" ht="15" hidden="false" customHeight="false" outlineLevel="0" collapsed="false">
      <c r="A735" s="34"/>
      <c r="B735" s="9"/>
      <c r="C735" s="9"/>
      <c r="D735" s="9"/>
      <c r="E735" s="9"/>
      <c r="F735" s="9"/>
      <c r="G735" s="35"/>
      <c r="H735" s="9"/>
    </row>
    <row r="736" customFormat="false" ht="15" hidden="false" customHeight="false" outlineLevel="0" collapsed="false">
      <c r="A736" s="34"/>
      <c r="B736" s="9"/>
      <c r="C736" s="9"/>
      <c r="D736" s="9"/>
      <c r="E736" s="9"/>
      <c r="F736" s="9"/>
      <c r="G736" s="35"/>
      <c r="H736" s="9"/>
    </row>
    <row r="737" customFormat="false" ht="15" hidden="false" customHeight="false" outlineLevel="0" collapsed="false">
      <c r="A737" s="34"/>
      <c r="B737" s="9"/>
      <c r="C737" s="9"/>
      <c r="D737" s="9"/>
      <c r="E737" s="9"/>
      <c r="F737" s="9"/>
      <c r="G737" s="35"/>
      <c r="H737" s="9"/>
    </row>
    <row r="738" customFormat="false" ht="15" hidden="false" customHeight="false" outlineLevel="0" collapsed="false">
      <c r="A738" s="34"/>
      <c r="B738" s="9"/>
      <c r="C738" s="9"/>
      <c r="D738" s="9"/>
      <c r="E738" s="9"/>
      <c r="F738" s="9"/>
      <c r="G738" s="35"/>
      <c r="H738" s="9"/>
    </row>
    <row r="739" customFormat="false" ht="15" hidden="false" customHeight="false" outlineLevel="0" collapsed="false">
      <c r="A739" s="34"/>
      <c r="B739" s="9"/>
      <c r="C739" s="9"/>
      <c r="D739" s="9"/>
      <c r="E739" s="9"/>
      <c r="F739" s="9"/>
      <c r="G739" s="35"/>
      <c r="H739" s="9"/>
    </row>
    <row r="740" customFormat="false" ht="15" hidden="false" customHeight="false" outlineLevel="0" collapsed="false">
      <c r="A740" s="34"/>
      <c r="B740" s="9"/>
      <c r="C740" s="9"/>
      <c r="D740" s="9"/>
      <c r="E740" s="9"/>
      <c r="F740" s="9"/>
      <c r="G740" s="35"/>
      <c r="H740" s="9"/>
    </row>
    <row r="741" customFormat="false" ht="15" hidden="false" customHeight="false" outlineLevel="0" collapsed="false">
      <c r="A741" s="34"/>
      <c r="B741" s="9"/>
      <c r="C741" s="9"/>
      <c r="D741" s="9"/>
      <c r="E741" s="9"/>
      <c r="F741" s="9"/>
      <c r="G741" s="35"/>
      <c r="H741" s="9"/>
    </row>
    <row r="742" customFormat="false" ht="15" hidden="false" customHeight="false" outlineLevel="0" collapsed="false">
      <c r="A742" s="34"/>
      <c r="B742" s="9"/>
      <c r="C742" s="9"/>
      <c r="D742" s="9"/>
      <c r="E742" s="9"/>
      <c r="F742" s="9"/>
      <c r="G742" s="35"/>
      <c r="H742" s="9"/>
    </row>
    <row r="743" customFormat="false" ht="15" hidden="false" customHeight="false" outlineLevel="0" collapsed="false">
      <c r="A743" s="34"/>
      <c r="B743" s="9"/>
      <c r="C743" s="9"/>
      <c r="D743" s="9"/>
      <c r="E743" s="9"/>
      <c r="F743" s="9"/>
      <c r="G743" s="35"/>
      <c r="H743" s="9"/>
    </row>
    <row r="744" customFormat="false" ht="15" hidden="false" customHeight="false" outlineLevel="0" collapsed="false">
      <c r="A744" s="34"/>
      <c r="B744" s="9"/>
      <c r="C744" s="9"/>
      <c r="D744" s="9"/>
      <c r="E744" s="9"/>
      <c r="F744" s="9"/>
      <c r="G744" s="35"/>
      <c r="H744" s="9"/>
    </row>
    <row r="745" customFormat="false" ht="15" hidden="false" customHeight="false" outlineLevel="0" collapsed="false">
      <c r="A745" s="34"/>
      <c r="B745" s="9"/>
      <c r="C745" s="9"/>
      <c r="D745" s="9"/>
      <c r="E745" s="9"/>
      <c r="F745" s="9"/>
      <c r="G745" s="35"/>
      <c r="H745" s="9"/>
    </row>
    <row r="746" customFormat="false" ht="15" hidden="false" customHeight="false" outlineLevel="0" collapsed="false">
      <c r="A746" s="34"/>
      <c r="B746" s="9"/>
      <c r="C746" s="9"/>
      <c r="D746" s="9"/>
      <c r="E746" s="9"/>
      <c r="F746" s="9"/>
      <c r="G746" s="35"/>
      <c r="H746" s="9"/>
    </row>
    <row r="747" customFormat="false" ht="15" hidden="false" customHeight="false" outlineLevel="0" collapsed="false">
      <c r="A747" s="34"/>
      <c r="B747" s="9"/>
      <c r="C747" s="9"/>
      <c r="D747" s="9"/>
      <c r="E747" s="9"/>
      <c r="F747" s="9"/>
      <c r="G747" s="35"/>
      <c r="H747" s="9"/>
    </row>
    <row r="748" customFormat="false" ht="15" hidden="false" customHeight="false" outlineLevel="0" collapsed="false">
      <c r="A748" s="34"/>
      <c r="B748" s="9"/>
      <c r="C748" s="9"/>
      <c r="D748" s="9"/>
      <c r="E748" s="9"/>
      <c r="F748" s="9"/>
      <c r="G748" s="35"/>
      <c r="H748" s="9"/>
    </row>
    <row r="749" customFormat="false" ht="15" hidden="false" customHeight="false" outlineLevel="0" collapsed="false">
      <c r="A749" s="34"/>
      <c r="B749" s="9"/>
      <c r="C749" s="9"/>
      <c r="D749" s="9"/>
      <c r="E749" s="9"/>
      <c r="F749" s="9"/>
      <c r="G749" s="35"/>
      <c r="H749" s="9"/>
    </row>
    <row r="750" customFormat="false" ht="15" hidden="false" customHeight="false" outlineLevel="0" collapsed="false">
      <c r="A750" s="34"/>
      <c r="B750" s="9"/>
      <c r="C750" s="9"/>
      <c r="D750" s="9"/>
      <c r="E750" s="9"/>
      <c r="F750" s="9"/>
      <c r="G750" s="35"/>
      <c r="H750" s="9"/>
    </row>
    <row r="751" customFormat="false" ht="15" hidden="false" customHeight="false" outlineLevel="0" collapsed="false">
      <c r="A751" s="34"/>
      <c r="B751" s="9"/>
      <c r="C751" s="9"/>
      <c r="D751" s="9"/>
      <c r="E751" s="9"/>
      <c r="F751" s="9"/>
      <c r="G751" s="35"/>
      <c r="H751" s="9"/>
    </row>
    <row r="752" customFormat="false" ht="15" hidden="false" customHeight="false" outlineLevel="0" collapsed="false">
      <c r="A752" s="34"/>
      <c r="B752" s="9"/>
      <c r="C752" s="9"/>
      <c r="D752" s="9"/>
      <c r="E752" s="9"/>
      <c r="F752" s="9"/>
      <c r="G752" s="35"/>
      <c r="H752" s="9"/>
    </row>
    <row r="753" customFormat="false" ht="15" hidden="false" customHeight="false" outlineLevel="0" collapsed="false">
      <c r="A753" s="34"/>
      <c r="B753" s="9"/>
      <c r="C753" s="9"/>
      <c r="D753" s="9"/>
      <c r="E753" s="9"/>
      <c r="F753" s="9"/>
      <c r="G753" s="35"/>
      <c r="H753" s="9"/>
    </row>
    <row r="754" customFormat="false" ht="15" hidden="false" customHeight="false" outlineLevel="0" collapsed="false">
      <c r="A754" s="34"/>
      <c r="B754" s="9"/>
      <c r="C754" s="9"/>
      <c r="D754" s="9"/>
      <c r="E754" s="9"/>
      <c r="F754" s="9"/>
      <c r="G754" s="35"/>
      <c r="H754" s="9"/>
    </row>
    <row r="755" customFormat="false" ht="15" hidden="false" customHeight="false" outlineLevel="0" collapsed="false">
      <c r="A755" s="34"/>
      <c r="B755" s="9"/>
      <c r="C755" s="9"/>
      <c r="D755" s="9"/>
      <c r="E755" s="9"/>
      <c r="F755" s="9"/>
      <c r="G755" s="35"/>
      <c r="H755" s="9"/>
    </row>
    <row r="756" customFormat="false" ht="15" hidden="false" customHeight="false" outlineLevel="0" collapsed="false">
      <c r="A756" s="34"/>
      <c r="B756" s="9"/>
      <c r="C756" s="9"/>
      <c r="D756" s="9"/>
      <c r="E756" s="9"/>
      <c r="F756" s="9"/>
      <c r="G756" s="35"/>
      <c r="H756" s="9"/>
    </row>
    <row r="757" customFormat="false" ht="15" hidden="false" customHeight="false" outlineLevel="0" collapsed="false">
      <c r="A757" s="34"/>
      <c r="B757" s="9"/>
      <c r="C757" s="9"/>
      <c r="D757" s="9"/>
      <c r="E757" s="9"/>
      <c r="F757" s="9"/>
      <c r="G757" s="35"/>
      <c r="H757" s="9"/>
    </row>
    <row r="758" customFormat="false" ht="15" hidden="false" customHeight="false" outlineLevel="0" collapsed="false">
      <c r="A758" s="34"/>
      <c r="B758" s="9"/>
      <c r="C758" s="9"/>
      <c r="D758" s="9"/>
      <c r="E758" s="9"/>
      <c r="F758" s="9"/>
      <c r="G758" s="35"/>
      <c r="H758" s="9"/>
    </row>
    <row r="759" customFormat="false" ht="15" hidden="false" customHeight="false" outlineLevel="0" collapsed="false">
      <c r="A759" s="34"/>
      <c r="B759" s="9"/>
      <c r="C759" s="9"/>
      <c r="D759" s="9"/>
      <c r="E759" s="9"/>
      <c r="F759" s="9"/>
      <c r="G759" s="35"/>
      <c r="H759" s="9"/>
    </row>
    <row r="760" customFormat="false" ht="15" hidden="false" customHeight="false" outlineLevel="0" collapsed="false">
      <c r="A760" s="34"/>
      <c r="B760" s="9"/>
      <c r="C760" s="9"/>
      <c r="D760" s="9"/>
      <c r="E760" s="9"/>
      <c r="F760" s="9"/>
      <c r="G760" s="35"/>
      <c r="H760" s="9"/>
    </row>
    <row r="761" customFormat="false" ht="15" hidden="false" customHeight="false" outlineLevel="0" collapsed="false">
      <c r="A761" s="34"/>
      <c r="B761" s="9"/>
      <c r="C761" s="9"/>
      <c r="D761" s="9"/>
      <c r="E761" s="9"/>
      <c r="F761" s="9"/>
      <c r="G761" s="35"/>
      <c r="H761" s="9"/>
    </row>
    <row r="762" customFormat="false" ht="15" hidden="false" customHeight="false" outlineLevel="0" collapsed="false">
      <c r="A762" s="34"/>
      <c r="B762" s="9"/>
      <c r="C762" s="9"/>
      <c r="D762" s="9"/>
      <c r="E762" s="9"/>
      <c r="F762" s="9"/>
      <c r="G762" s="35"/>
      <c r="H762" s="9"/>
    </row>
    <row r="763" customFormat="false" ht="15" hidden="false" customHeight="false" outlineLevel="0" collapsed="false">
      <c r="A763" s="34"/>
      <c r="B763" s="9"/>
      <c r="C763" s="9"/>
      <c r="D763" s="9"/>
      <c r="E763" s="9"/>
      <c r="F763" s="9"/>
      <c r="G763" s="35"/>
      <c r="H763" s="9"/>
    </row>
    <row r="764" customFormat="false" ht="15" hidden="false" customHeight="false" outlineLevel="0" collapsed="false">
      <c r="A764" s="34"/>
      <c r="B764" s="9"/>
      <c r="C764" s="9"/>
      <c r="D764" s="9"/>
      <c r="E764" s="9"/>
      <c r="F764" s="9"/>
      <c r="G764" s="35"/>
      <c r="H764" s="9"/>
    </row>
    <row r="765" customFormat="false" ht="15" hidden="false" customHeight="false" outlineLevel="0" collapsed="false">
      <c r="A765" s="34"/>
      <c r="B765" s="9"/>
      <c r="C765" s="9"/>
      <c r="D765" s="9"/>
      <c r="E765" s="9"/>
      <c r="F765" s="9"/>
      <c r="G765" s="35"/>
      <c r="H765" s="9"/>
    </row>
    <row r="766" customFormat="false" ht="15" hidden="false" customHeight="false" outlineLevel="0" collapsed="false">
      <c r="A766" s="34"/>
      <c r="B766" s="9"/>
      <c r="C766" s="9"/>
      <c r="D766" s="9"/>
      <c r="E766" s="9"/>
      <c r="F766" s="9"/>
      <c r="G766" s="35"/>
      <c r="H766" s="9"/>
    </row>
    <row r="767" customFormat="false" ht="15" hidden="false" customHeight="false" outlineLevel="0" collapsed="false">
      <c r="A767" s="34"/>
      <c r="B767" s="9"/>
      <c r="C767" s="9"/>
      <c r="D767" s="9"/>
      <c r="E767" s="9"/>
      <c r="F767" s="9"/>
      <c r="G767" s="35"/>
      <c r="H767" s="9"/>
    </row>
    <row r="768" customFormat="false" ht="15" hidden="false" customHeight="false" outlineLevel="0" collapsed="false">
      <c r="A768" s="34"/>
      <c r="B768" s="9"/>
      <c r="C768" s="9"/>
      <c r="D768" s="9"/>
      <c r="E768" s="9"/>
      <c r="F768" s="9"/>
      <c r="G768" s="35"/>
      <c r="H768" s="9"/>
    </row>
    <row r="769" customFormat="false" ht="15" hidden="false" customHeight="false" outlineLevel="0" collapsed="false">
      <c r="A769" s="34"/>
      <c r="B769" s="9"/>
      <c r="C769" s="9"/>
      <c r="D769" s="9"/>
      <c r="E769" s="9"/>
      <c r="F769" s="9"/>
      <c r="G769" s="35"/>
      <c r="H769" s="9"/>
    </row>
    <row r="770" customFormat="false" ht="15" hidden="false" customHeight="false" outlineLevel="0" collapsed="false">
      <c r="A770" s="34"/>
      <c r="B770" s="9"/>
      <c r="C770" s="9"/>
      <c r="D770" s="9"/>
      <c r="E770" s="9"/>
      <c r="F770" s="9"/>
      <c r="G770" s="35"/>
      <c r="H770" s="9"/>
    </row>
    <row r="771" customFormat="false" ht="15" hidden="false" customHeight="false" outlineLevel="0" collapsed="false">
      <c r="A771" s="34"/>
      <c r="B771" s="9"/>
      <c r="C771" s="9"/>
      <c r="D771" s="9"/>
      <c r="E771" s="9"/>
      <c r="F771" s="9"/>
      <c r="G771" s="35"/>
      <c r="H771" s="9"/>
    </row>
    <row r="772" customFormat="false" ht="15" hidden="false" customHeight="false" outlineLevel="0" collapsed="false">
      <c r="A772" s="34"/>
      <c r="B772" s="9"/>
      <c r="C772" s="9"/>
      <c r="D772" s="9"/>
      <c r="E772" s="9"/>
      <c r="F772" s="9"/>
      <c r="G772" s="35"/>
      <c r="H772" s="9"/>
    </row>
    <row r="773" customFormat="false" ht="15" hidden="false" customHeight="false" outlineLevel="0" collapsed="false">
      <c r="A773" s="34"/>
      <c r="B773" s="9"/>
      <c r="C773" s="9"/>
      <c r="D773" s="9"/>
      <c r="E773" s="9"/>
      <c r="F773" s="9"/>
      <c r="G773" s="35"/>
      <c r="H773" s="9"/>
    </row>
    <row r="774" customFormat="false" ht="15" hidden="false" customHeight="false" outlineLevel="0" collapsed="false">
      <c r="A774" s="34"/>
      <c r="B774" s="9"/>
      <c r="C774" s="9"/>
      <c r="D774" s="9"/>
      <c r="E774" s="9"/>
      <c r="F774" s="9"/>
      <c r="G774" s="35"/>
      <c r="H774" s="9"/>
    </row>
    <row r="775" customFormat="false" ht="15" hidden="false" customHeight="false" outlineLevel="0" collapsed="false">
      <c r="A775" s="34"/>
      <c r="B775" s="9"/>
      <c r="C775" s="9"/>
      <c r="D775" s="9"/>
      <c r="E775" s="9"/>
      <c r="F775" s="9"/>
      <c r="G775" s="35"/>
      <c r="H775" s="9"/>
    </row>
    <row r="776" customFormat="false" ht="15" hidden="false" customHeight="false" outlineLevel="0" collapsed="false">
      <c r="A776" s="34"/>
      <c r="B776" s="9"/>
      <c r="C776" s="9"/>
      <c r="D776" s="9"/>
      <c r="E776" s="9"/>
      <c r="F776" s="9"/>
      <c r="G776" s="35"/>
      <c r="H776" s="9"/>
    </row>
    <row r="777" customFormat="false" ht="15" hidden="false" customHeight="false" outlineLevel="0" collapsed="false">
      <c r="A777" s="34"/>
      <c r="B777" s="9"/>
      <c r="C777" s="9"/>
      <c r="D777" s="9"/>
      <c r="E777" s="9"/>
      <c r="F777" s="9"/>
      <c r="G777" s="35"/>
      <c r="H777" s="9"/>
    </row>
    <row r="778" customFormat="false" ht="15" hidden="false" customHeight="false" outlineLevel="0" collapsed="false">
      <c r="A778" s="34"/>
      <c r="B778" s="9"/>
      <c r="C778" s="9"/>
      <c r="D778" s="9"/>
      <c r="E778" s="9"/>
      <c r="F778" s="9"/>
      <c r="G778" s="35"/>
      <c r="H778" s="9"/>
    </row>
    <row r="779" customFormat="false" ht="15" hidden="false" customHeight="false" outlineLevel="0" collapsed="false">
      <c r="A779" s="34"/>
      <c r="B779" s="9"/>
      <c r="C779" s="9"/>
      <c r="D779" s="9"/>
      <c r="E779" s="9"/>
      <c r="F779" s="9"/>
      <c r="G779" s="35"/>
      <c r="H779" s="9"/>
    </row>
    <row r="780" customFormat="false" ht="15" hidden="false" customHeight="false" outlineLevel="0" collapsed="false">
      <c r="A780" s="34"/>
      <c r="B780" s="9"/>
      <c r="C780" s="9"/>
      <c r="D780" s="9"/>
      <c r="E780" s="9"/>
      <c r="F780" s="9"/>
      <c r="G780" s="35"/>
      <c r="H780" s="9"/>
    </row>
    <row r="781" customFormat="false" ht="15" hidden="false" customHeight="false" outlineLevel="0" collapsed="false">
      <c r="A781" s="34"/>
      <c r="B781" s="9"/>
      <c r="C781" s="9"/>
      <c r="D781" s="9"/>
      <c r="E781" s="9"/>
      <c r="F781" s="9"/>
      <c r="G781" s="35"/>
      <c r="H781" s="9"/>
    </row>
    <row r="782" customFormat="false" ht="15" hidden="false" customHeight="false" outlineLevel="0" collapsed="false">
      <c r="A782" s="34"/>
      <c r="B782" s="9"/>
      <c r="C782" s="9"/>
      <c r="D782" s="9"/>
      <c r="E782" s="9"/>
      <c r="F782" s="9"/>
      <c r="G782" s="35"/>
      <c r="H782" s="9"/>
    </row>
    <row r="783" customFormat="false" ht="15" hidden="false" customHeight="false" outlineLevel="0" collapsed="false">
      <c r="A783" s="34"/>
      <c r="B783" s="9"/>
      <c r="C783" s="9"/>
      <c r="D783" s="9"/>
      <c r="E783" s="9"/>
      <c r="F783" s="9"/>
      <c r="G783" s="35"/>
      <c r="H783" s="9"/>
    </row>
    <row r="784" customFormat="false" ht="15" hidden="false" customHeight="false" outlineLevel="0" collapsed="false">
      <c r="A784" s="34"/>
      <c r="B784" s="9"/>
      <c r="C784" s="9"/>
      <c r="D784" s="9"/>
      <c r="E784" s="9"/>
      <c r="F784" s="9"/>
      <c r="G784" s="35"/>
      <c r="H784" s="9"/>
    </row>
    <row r="785" customFormat="false" ht="15" hidden="false" customHeight="false" outlineLevel="0" collapsed="false">
      <c r="A785" s="34"/>
      <c r="B785" s="9"/>
      <c r="C785" s="9"/>
      <c r="D785" s="9"/>
      <c r="E785" s="9"/>
      <c r="F785" s="9"/>
      <c r="G785" s="35"/>
      <c r="H785" s="9"/>
    </row>
    <row r="786" customFormat="false" ht="15" hidden="false" customHeight="false" outlineLevel="0" collapsed="false">
      <c r="A786" s="34"/>
      <c r="B786" s="9"/>
      <c r="C786" s="9"/>
      <c r="D786" s="9"/>
      <c r="E786" s="9"/>
      <c r="F786" s="9"/>
      <c r="G786" s="35"/>
      <c r="H786" s="9"/>
    </row>
    <row r="787" customFormat="false" ht="15" hidden="false" customHeight="false" outlineLevel="0" collapsed="false">
      <c r="A787" s="34"/>
      <c r="B787" s="9"/>
      <c r="C787" s="9"/>
      <c r="D787" s="9"/>
      <c r="E787" s="9"/>
      <c r="F787" s="9"/>
      <c r="G787" s="35"/>
      <c r="H787" s="9"/>
    </row>
    <row r="788" customFormat="false" ht="15" hidden="false" customHeight="false" outlineLevel="0" collapsed="false">
      <c r="A788" s="34"/>
      <c r="B788" s="9"/>
      <c r="C788" s="9"/>
      <c r="D788" s="9"/>
      <c r="E788" s="9"/>
      <c r="F788" s="9"/>
      <c r="G788" s="35"/>
      <c r="H788" s="9"/>
    </row>
    <row r="789" customFormat="false" ht="15" hidden="false" customHeight="false" outlineLevel="0" collapsed="false">
      <c r="A789" s="34"/>
      <c r="B789" s="9"/>
      <c r="C789" s="9"/>
      <c r="D789" s="9"/>
      <c r="E789" s="9"/>
      <c r="F789" s="9"/>
      <c r="G789" s="35"/>
      <c r="H789" s="9"/>
    </row>
    <row r="790" customFormat="false" ht="15" hidden="false" customHeight="false" outlineLevel="0" collapsed="false">
      <c r="A790" s="34"/>
      <c r="B790" s="9"/>
      <c r="C790" s="9"/>
      <c r="D790" s="9"/>
      <c r="E790" s="9"/>
      <c r="F790" s="9"/>
      <c r="G790" s="35"/>
      <c r="H790" s="9"/>
    </row>
    <row r="791" customFormat="false" ht="15" hidden="false" customHeight="false" outlineLevel="0" collapsed="false">
      <c r="A791" s="34"/>
      <c r="B791" s="9"/>
      <c r="C791" s="9"/>
      <c r="D791" s="9"/>
      <c r="E791" s="9"/>
      <c r="F791" s="9"/>
      <c r="G791" s="35"/>
      <c r="H791" s="9"/>
    </row>
    <row r="792" customFormat="false" ht="15" hidden="false" customHeight="false" outlineLevel="0" collapsed="false">
      <c r="A792" s="34"/>
      <c r="B792" s="9"/>
      <c r="C792" s="9"/>
      <c r="D792" s="9"/>
      <c r="E792" s="9"/>
      <c r="F792" s="9"/>
      <c r="G792" s="35"/>
      <c r="H792" s="9"/>
    </row>
    <row r="793" customFormat="false" ht="15" hidden="false" customHeight="false" outlineLevel="0" collapsed="false">
      <c r="A793" s="34"/>
      <c r="B793" s="9"/>
      <c r="C793" s="9"/>
      <c r="D793" s="9"/>
      <c r="E793" s="9"/>
      <c r="F793" s="9"/>
      <c r="G793" s="35"/>
      <c r="H793" s="9"/>
    </row>
    <row r="794" customFormat="false" ht="15" hidden="false" customHeight="false" outlineLevel="0" collapsed="false">
      <c r="A794" s="34"/>
      <c r="B794" s="9"/>
      <c r="C794" s="9"/>
      <c r="D794" s="9"/>
      <c r="E794" s="9"/>
      <c r="F794" s="9"/>
      <c r="G794" s="35"/>
      <c r="H794" s="9"/>
    </row>
    <row r="795" customFormat="false" ht="15" hidden="false" customHeight="false" outlineLevel="0" collapsed="false">
      <c r="A795" s="34"/>
      <c r="B795" s="9"/>
      <c r="C795" s="9"/>
      <c r="D795" s="9"/>
      <c r="E795" s="9"/>
      <c r="F795" s="9"/>
      <c r="G795" s="35"/>
      <c r="H795" s="9"/>
    </row>
    <row r="796" customFormat="false" ht="15" hidden="false" customHeight="false" outlineLevel="0" collapsed="false">
      <c r="A796" s="34"/>
      <c r="B796" s="9"/>
      <c r="C796" s="9"/>
      <c r="D796" s="9"/>
      <c r="E796" s="9"/>
      <c r="F796" s="9"/>
      <c r="G796" s="35"/>
      <c r="H796" s="9"/>
    </row>
    <row r="797" customFormat="false" ht="15" hidden="false" customHeight="false" outlineLevel="0" collapsed="false">
      <c r="A797" s="34"/>
      <c r="B797" s="9"/>
      <c r="C797" s="9"/>
      <c r="D797" s="9"/>
      <c r="E797" s="9"/>
      <c r="F797" s="9"/>
      <c r="G797" s="35"/>
      <c r="H797" s="9"/>
    </row>
    <row r="798" customFormat="false" ht="15" hidden="false" customHeight="false" outlineLevel="0" collapsed="false">
      <c r="A798" s="34"/>
      <c r="B798" s="9"/>
      <c r="C798" s="9"/>
      <c r="D798" s="9"/>
      <c r="E798" s="9"/>
      <c r="F798" s="9"/>
      <c r="G798" s="35"/>
      <c r="H798" s="9"/>
    </row>
    <row r="799" customFormat="false" ht="15" hidden="false" customHeight="false" outlineLevel="0" collapsed="false">
      <c r="A799" s="34"/>
      <c r="B799" s="9"/>
      <c r="C799" s="9"/>
      <c r="D799" s="9"/>
      <c r="E799" s="9"/>
      <c r="F799" s="9"/>
      <c r="G799" s="35"/>
      <c r="H799" s="9"/>
    </row>
    <row r="800" customFormat="false" ht="15" hidden="false" customHeight="false" outlineLevel="0" collapsed="false">
      <c r="A800" s="34"/>
      <c r="B800" s="9"/>
      <c r="C800" s="9"/>
      <c r="D800" s="9"/>
      <c r="E800" s="9"/>
      <c r="F800" s="9"/>
      <c r="G800" s="35"/>
      <c r="H800" s="9"/>
    </row>
    <row r="801" customFormat="false" ht="15" hidden="false" customHeight="false" outlineLevel="0" collapsed="false">
      <c r="A801" s="34"/>
      <c r="B801" s="9"/>
      <c r="C801" s="9"/>
      <c r="D801" s="9"/>
      <c r="E801" s="9"/>
      <c r="F801" s="9"/>
      <c r="G801" s="35"/>
      <c r="H801" s="9"/>
    </row>
    <row r="802" customFormat="false" ht="15" hidden="false" customHeight="false" outlineLevel="0" collapsed="false">
      <c r="A802" s="34"/>
      <c r="B802" s="9"/>
      <c r="C802" s="9"/>
      <c r="D802" s="9"/>
      <c r="E802" s="9"/>
      <c r="F802" s="9"/>
      <c r="G802" s="35"/>
      <c r="H802" s="9"/>
    </row>
    <row r="803" customFormat="false" ht="15" hidden="false" customHeight="false" outlineLevel="0" collapsed="false">
      <c r="A803" s="34"/>
      <c r="B803" s="9"/>
      <c r="C803" s="9"/>
      <c r="D803" s="9"/>
      <c r="E803" s="9"/>
      <c r="F803" s="9"/>
      <c r="G803" s="35"/>
      <c r="H803" s="9"/>
    </row>
    <row r="804" customFormat="false" ht="15" hidden="false" customHeight="false" outlineLevel="0" collapsed="false">
      <c r="A804" s="34"/>
      <c r="B804" s="9"/>
      <c r="C804" s="9"/>
      <c r="D804" s="9"/>
      <c r="E804" s="9"/>
      <c r="F804" s="9"/>
      <c r="G804" s="35"/>
      <c r="H804" s="9"/>
    </row>
    <row r="805" customFormat="false" ht="15" hidden="false" customHeight="false" outlineLevel="0" collapsed="false">
      <c r="A805" s="34"/>
      <c r="B805" s="9"/>
      <c r="C805" s="9"/>
      <c r="D805" s="9"/>
      <c r="E805" s="9"/>
      <c r="F805" s="9"/>
      <c r="G805" s="35"/>
      <c r="H805" s="9"/>
    </row>
    <row r="806" customFormat="false" ht="15" hidden="false" customHeight="false" outlineLevel="0" collapsed="false">
      <c r="A806" s="34"/>
      <c r="B806" s="9"/>
      <c r="C806" s="9"/>
      <c r="D806" s="9"/>
      <c r="E806" s="9"/>
      <c r="F806" s="9"/>
      <c r="G806" s="35"/>
      <c r="H806" s="9"/>
    </row>
    <row r="807" customFormat="false" ht="15" hidden="false" customHeight="false" outlineLevel="0" collapsed="false">
      <c r="A807" s="34"/>
      <c r="B807" s="9"/>
      <c r="C807" s="9"/>
      <c r="D807" s="9"/>
      <c r="E807" s="9"/>
      <c r="F807" s="9"/>
      <c r="G807" s="35"/>
      <c r="H807" s="9"/>
    </row>
    <row r="808" customFormat="false" ht="15" hidden="false" customHeight="false" outlineLevel="0" collapsed="false">
      <c r="A808" s="34"/>
      <c r="B808" s="9"/>
      <c r="C808" s="9"/>
      <c r="D808" s="9"/>
      <c r="E808" s="9"/>
      <c r="F808" s="9"/>
      <c r="G808" s="35"/>
      <c r="H808" s="9"/>
    </row>
    <row r="809" customFormat="false" ht="15" hidden="false" customHeight="false" outlineLevel="0" collapsed="false">
      <c r="A809" s="34"/>
      <c r="B809" s="9"/>
      <c r="C809" s="9"/>
      <c r="D809" s="9"/>
      <c r="E809" s="9"/>
      <c r="F809" s="9"/>
      <c r="G809" s="35"/>
      <c r="H809" s="9"/>
    </row>
    <row r="810" customFormat="false" ht="15" hidden="false" customHeight="false" outlineLevel="0" collapsed="false">
      <c r="A810" s="34"/>
      <c r="B810" s="9"/>
      <c r="C810" s="9"/>
      <c r="D810" s="9"/>
      <c r="E810" s="9"/>
      <c r="F810" s="9"/>
      <c r="G810" s="35"/>
      <c r="H810" s="9"/>
    </row>
    <row r="811" customFormat="false" ht="15" hidden="false" customHeight="false" outlineLevel="0" collapsed="false">
      <c r="A811" s="34"/>
      <c r="B811" s="9"/>
      <c r="C811" s="9"/>
      <c r="D811" s="9"/>
      <c r="E811" s="9"/>
      <c r="F811" s="9"/>
      <c r="G811" s="35"/>
      <c r="H811" s="9"/>
    </row>
    <row r="812" customFormat="false" ht="15" hidden="false" customHeight="false" outlineLevel="0" collapsed="false">
      <c r="A812" s="34"/>
      <c r="B812" s="9"/>
      <c r="C812" s="9"/>
      <c r="D812" s="9"/>
      <c r="E812" s="9"/>
      <c r="F812" s="9"/>
      <c r="G812" s="35"/>
      <c r="H812" s="9"/>
    </row>
    <row r="813" customFormat="false" ht="15" hidden="false" customHeight="false" outlineLevel="0" collapsed="false">
      <c r="A813" s="34"/>
      <c r="B813" s="9"/>
      <c r="C813" s="9"/>
      <c r="D813" s="9"/>
      <c r="E813" s="9"/>
      <c r="F813" s="9"/>
      <c r="G813" s="35"/>
      <c r="H813" s="9"/>
    </row>
    <row r="814" customFormat="false" ht="15" hidden="false" customHeight="false" outlineLevel="0" collapsed="false">
      <c r="A814" s="34"/>
      <c r="B814" s="9"/>
      <c r="C814" s="9"/>
      <c r="D814" s="9"/>
      <c r="E814" s="9"/>
      <c r="F814" s="9"/>
      <c r="G814" s="35"/>
      <c r="H814" s="9"/>
    </row>
    <row r="815" customFormat="false" ht="15" hidden="false" customHeight="false" outlineLevel="0" collapsed="false">
      <c r="A815" s="34"/>
      <c r="B815" s="9"/>
      <c r="C815" s="9"/>
      <c r="D815" s="9"/>
      <c r="E815" s="9"/>
      <c r="F815" s="9"/>
      <c r="G815" s="35"/>
      <c r="H815" s="9"/>
    </row>
    <row r="816" customFormat="false" ht="15" hidden="false" customHeight="false" outlineLevel="0" collapsed="false">
      <c r="A816" s="34"/>
      <c r="B816" s="9"/>
      <c r="C816" s="9"/>
      <c r="D816" s="9"/>
      <c r="E816" s="9"/>
      <c r="F816" s="9"/>
      <c r="G816" s="35"/>
      <c r="H816" s="9"/>
    </row>
    <row r="817" customFormat="false" ht="15" hidden="false" customHeight="false" outlineLevel="0" collapsed="false">
      <c r="A817" s="34"/>
      <c r="B817" s="9"/>
      <c r="C817" s="9"/>
      <c r="D817" s="9"/>
      <c r="E817" s="9"/>
      <c r="F817" s="9"/>
      <c r="G817" s="35"/>
      <c r="H817" s="9"/>
    </row>
    <row r="818" customFormat="false" ht="15" hidden="false" customHeight="false" outlineLevel="0" collapsed="false">
      <c r="A818" s="34"/>
      <c r="B818" s="9"/>
      <c r="C818" s="9"/>
      <c r="D818" s="9"/>
      <c r="E818" s="9"/>
      <c r="F818" s="9"/>
      <c r="G818" s="35"/>
      <c r="H818" s="9"/>
    </row>
    <row r="819" customFormat="false" ht="15" hidden="false" customHeight="false" outlineLevel="0" collapsed="false">
      <c r="A819" s="34"/>
      <c r="B819" s="9"/>
      <c r="C819" s="9"/>
      <c r="D819" s="9"/>
      <c r="E819" s="9"/>
      <c r="F819" s="9"/>
      <c r="G819" s="35"/>
      <c r="H819" s="9"/>
    </row>
    <row r="820" customFormat="false" ht="15" hidden="false" customHeight="false" outlineLevel="0" collapsed="false">
      <c r="A820" s="34"/>
      <c r="B820" s="9"/>
      <c r="C820" s="9"/>
      <c r="D820" s="9"/>
      <c r="E820" s="9"/>
      <c r="F820" s="9"/>
      <c r="G820" s="35"/>
      <c r="H820" s="9"/>
    </row>
    <row r="821" customFormat="false" ht="15" hidden="false" customHeight="false" outlineLevel="0" collapsed="false">
      <c r="A821" s="34"/>
      <c r="B821" s="9"/>
      <c r="C821" s="9"/>
      <c r="D821" s="9"/>
      <c r="E821" s="9"/>
      <c r="F821" s="9"/>
      <c r="G821" s="35"/>
      <c r="H821" s="9"/>
    </row>
    <row r="822" customFormat="false" ht="15" hidden="false" customHeight="false" outlineLevel="0" collapsed="false">
      <c r="A822" s="34"/>
      <c r="B822" s="9"/>
      <c r="C822" s="9"/>
      <c r="D822" s="9"/>
      <c r="E822" s="9"/>
      <c r="F822" s="9"/>
      <c r="G822" s="35"/>
      <c r="H822" s="9"/>
    </row>
    <row r="823" customFormat="false" ht="15" hidden="false" customHeight="false" outlineLevel="0" collapsed="false">
      <c r="A823" s="34"/>
      <c r="B823" s="9"/>
      <c r="C823" s="9"/>
      <c r="D823" s="9"/>
      <c r="E823" s="9"/>
      <c r="F823" s="9"/>
      <c r="G823" s="35"/>
      <c r="H823" s="9"/>
    </row>
    <row r="824" customFormat="false" ht="15" hidden="false" customHeight="false" outlineLevel="0" collapsed="false">
      <c r="A824" s="34"/>
      <c r="B824" s="9"/>
      <c r="C824" s="9"/>
      <c r="D824" s="9"/>
      <c r="E824" s="9"/>
      <c r="F824" s="9"/>
      <c r="G824" s="35"/>
      <c r="H824" s="9"/>
    </row>
    <row r="825" customFormat="false" ht="15" hidden="false" customHeight="false" outlineLevel="0" collapsed="false">
      <c r="A825" s="34"/>
      <c r="B825" s="9"/>
      <c r="C825" s="9"/>
      <c r="D825" s="9"/>
      <c r="E825" s="9"/>
      <c r="F825" s="9"/>
      <c r="G825" s="35"/>
      <c r="H825" s="9"/>
    </row>
    <row r="826" customFormat="false" ht="15" hidden="false" customHeight="false" outlineLevel="0" collapsed="false">
      <c r="A826" s="34"/>
      <c r="B826" s="9"/>
      <c r="C826" s="9"/>
      <c r="D826" s="9"/>
      <c r="E826" s="9"/>
      <c r="F826" s="9"/>
      <c r="G826" s="35"/>
      <c r="H826" s="9"/>
    </row>
    <row r="827" customFormat="false" ht="15" hidden="false" customHeight="false" outlineLevel="0" collapsed="false">
      <c r="A827" s="34"/>
      <c r="B827" s="9"/>
      <c r="C827" s="9"/>
      <c r="D827" s="9"/>
      <c r="E827" s="9"/>
      <c r="F827" s="9"/>
      <c r="G827" s="35"/>
      <c r="H827" s="9"/>
    </row>
    <row r="828" customFormat="false" ht="15" hidden="false" customHeight="false" outlineLevel="0" collapsed="false">
      <c r="A828" s="34"/>
      <c r="B828" s="9"/>
      <c r="C828" s="9"/>
      <c r="D828" s="9"/>
      <c r="E828" s="9"/>
      <c r="F828" s="9"/>
      <c r="G828" s="35"/>
      <c r="H828" s="9"/>
    </row>
    <row r="829" customFormat="false" ht="15" hidden="false" customHeight="false" outlineLevel="0" collapsed="false">
      <c r="A829" s="34"/>
      <c r="B829" s="9"/>
      <c r="C829" s="9"/>
      <c r="D829" s="9"/>
      <c r="E829" s="9"/>
      <c r="F829" s="9"/>
      <c r="G829" s="35"/>
      <c r="H829" s="9"/>
    </row>
    <row r="830" customFormat="false" ht="15" hidden="false" customHeight="false" outlineLevel="0" collapsed="false">
      <c r="A830" s="34"/>
      <c r="B830" s="9"/>
      <c r="C830" s="9"/>
      <c r="D830" s="9"/>
      <c r="E830" s="9"/>
      <c r="F830" s="9"/>
      <c r="G830" s="35"/>
      <c r="H830" s="9"/>
    </row>
    <row r="831" customFormat="false" ht="15" hidden="false" customHeight="false" outlineLevel="0" collapsed="false">
      <c r="A831" s="34"/>
      <c r="B831" s="9"/>
      <c r="C831" s="9"/>
      <c r="D831" s="9"/>
      <c r="E831" s="9"/>
      <c r="F831" s="9"/>
      <c r="G831" s="35"/>
      <c r="H831" s="9"/>
    </row>
    <row r="832" customFormat="false" ht="15" hidden="false" customHeight="false" outlineLevel="0" collapsed="false">
      <c r="A832" s="34"/>
      <c r="B832" s="9"/>
      <c r="C832" s="9"/>
      <c r="D832" s="9"/>
      <c r="E832" s="9"/>
      <c r="F832" s="9"/>
      <c r="G832" s="35"/>
      <c r="H832" s="9"/>
    </row>
    <row r="833" customFormat="false" ht="15" hidden="false" customHeight="false" outlineLevel="0" collapsed="false">
      <c r="A833" s="34"/>
      <c r="B833" s="9"/>
      <c r="C833" s="9"/>
      <c r="D833" s="9"/>
      <c r="E833" s="9"/>
      <c r="F833" s="9"/>
      <c r="G833" s="35"/>
      <c r="H833" s="9"/>
    </row>
    <row r="834" customFormat="false" ht="15" hidden="false" customHeight="false" outlineLevel="0" collapsed="false">
      <c r="A834" s="34"/>
      <c r="B834" s="9"/>
      <c r="C834" s="9"/>
      <c r="D834" s="9"/>
      <c r="E834" s="9"/>
      <c r="F834" s="9"/>
      <c r="G834" s="35"/>
      <c r="H834" s="9"/>
    </row>
    <row r="835" customFormat="false" ht="15" hidden="false" customHeight="false" outlineLevel="0" collapsed="false">
      <c r="A835" s="34"/>
      <c r="B835" s="9"/>
      <c r="C835" s="9"/>
      <c r="D835" s="9"/>
      <c r="E835" s="9"/>
      <c r="F835" s="9"/>
      <c r="G835" s="35"/>
      <c r="H835" s="9"/>
    </row>
    <row r="836" customFormat="false" ht="15" hidden="false" customHeight="false" outlineLevel="0" collapsed="false">
      <c r="A836" s="34"/>
      <c r="B836" s="9"/>
      <c r="C836" s="9"/>
      <c r="D836" s="9"/>
      <c r="E836" s="9"/>
      <c r="F836" s="9"/>
      <c r="G836" s="35"/>
      <c r="H836" s="9"/>
    </row>
    <row r="837" customFormat="false" ht="15" hidden="false" customHeight="false" outlineLevel="0" collapsed="false">
      <c r="A837" s="34"/>
      <c r="B837" s="9"/>
      <c r="C837" s="9"/>
      <c r="D837" s="9"/>
      <c r="E837" s="9"/>
      <c r="F837" s="9"/>
      <c r="G837" s="35"/>
      <c r="H837" s="9"/>
    </row>
    <row r="838" customFormat="false" ht="15" hidden="false" customHeight="false" outlineLevel="0" collapsed="false">
      <c r="A838" s="34"/>
      <c r="B838" s="9"/>
      <c r="C838" s="9"/>
      <c r="D838" s="9"/>
      <c r="E838" s="9"/>
      <c r="F838" s="9"/>
      <c r="G838" s="35"/>
      <c r="H838" s="9"/>
    </row>
    <row r="839" customFormat="false" ht="15" hidden="false" customHeight="false" outlineLevel="0" collapsed="false">
      <c r="A839" s="34"/>
      <c r="B839" s="9"/>
      <c r="C839" s="9"/>
      <c r="D839" s="9"/>
      <c r="E839" s="9"/>
      <c r="F839" s="9"/>
      <c r="G839" s="35"/>
      <c r="H839" s="9"/>
    </row>
    <row r="840" customFormat="false" ht="15" hidden="false" customHeight="false" outlineLevel="0" collapsed="false">
      <c r="A840" s="34"/>
      <c r="B840" s="9"/>
      <c r="C840" s="9"/>
      <c r="D840" s="9"/>
      <c r="E840" s="9"/>
      <c r="F840" s="9"/>
      <c r="G840" s="35"/>
      <c r="H840" s="9"/>
    </row>
    <row r="841" customFormat="false" ht="15" hidden="false" customHeight="false" outlineLevel="0" collapsed="false">
      <c r="A841" s="34"/>
      <c r="B841" s="9"/>
      <c r="C841" s="9"/>
      <c r="D841" s="9"/>
      <c r="E841" s="9"/>
      <c r="F841" s="9"/>
      <c r="G841" s="35"/>
      <c r="H841" s="9"/>
    </row>
    <row r="842" customFormat="false" ht="15" hidden="false" customHeight="false" outlineLevel="0" collapsed="false">
      <c r="A842" s="34"/>
      <c r="B842" s="9"/>
      <c r="C842" s="9"/>
      <c r="D842" s="9"/>
      <c r="E842" s="9"/>
      <c r="F842" s="9"/>
      <c r="G842" s="35"/>
      <c r="H842" s="9"/>
    </row>
    <row r="843" customFormat="false" ht="15" hidden="false" customHeight="false" outlineLevel="0" collapsed="false">
      <c r="A843" s="34"/>
      <c r="B843" s="9"/>
      <c r="C843" s="9"/>
      <c r="D843" s="9"/>
      <c r="E843" s="9"/>
      <c r="F843" s="9"/>
      <c r="G843" s="35"/>
      <c r="H843" s="9"/>
    </row>
    <row r="844" customFormat="false" ht="15" hidden="false" customHeight="false" outlineLevel="0" collapsed="false">
      <c r="A844" s="34"/>
      <c r="B844" s="9"/>
      <c r="C844" s="9"/>
      <c r="D844" s="9"/>
      <c r="E844" s="9"/>
      <c r="F844" s="9"/>
      <c r="G844" s="35"/>
      <c r="H844" s="9"/>
    </row>
    <row r="845" customFormat="false" ht="15" hidden="false" customHeight="false" outlineLevel="0" collapsed="false">
      <c r="A845" s="34"/>
      <c r="B845" s="9"/>
      <c r="C845" s="9"/>
      <c r="D845" s="9"/>
      <c r="E845" s="9"/>
      <c r="F845" s="9"/>
      <c r="G845" s="35"/>
      <c r="H845" s="9"/>
    </row>
    <row r="846" customFormat="false" ht="15" hidden="false" customHeight="false" outlineLevel="0" collapsed="false">
      <c r="A846" s="34"/>
      <c r="B846" s="9"/>
      <c r="C846" s="9"/>
      <c r="D846" s="9"/>
      <c r="E846" s="9"/>
      <c r="F846" s="9"/>
      <c r="G846" s="35"/>
      <c r="H846" s="9"/>
    </row>
    <row r="847" customFormat="false" ht="15" hidden="false" customHeight="false" outlineLevel="0" collapsed="false">
      <c r="A847" s="34"/>
      <c r="B847" s="9"/>
      <c r="C847" s="9"/>
      <c r="D847" s="9"/>
      <c r="E847" s="9"/>
      <c r="F847" s="9"/>
      <c r="G847" s="35"/>
      <c r="H847" s="9"/>
    </row>
    <row r="848" customFormat="false" ht="15" hidden="false" customHeight="false" outlineLevel="0" collapsed="false">
      <c r="A848" s="34"/>
      <c r="B848" s="9"/>
      <c r="C848" s="9"/>
      <c r="D848" s="9"/>
      <c r="E848" s="9"/>
      <c r="F848" s="9"/>
      <c r="G848" s="35"/>
      <c r="H848" s="9"/>
    </row>
    <row r="849" customFormat="false" ht="15" hidden="false" customHeight="false" outlineLevel="0" collapsed="false">
      <c r="A849" s="34"/>
      <c r="B849" s="9"/>
      <c r="C849" s="9"/>
      <c r="D849" s="9"/>
      <c r="E849" s="9"/>
      <c r="F849" s="9"/>
      <c r="G849" s="35"/>
      <c r="H849" s="9"/>
    </row>
    <row r="850" customFormat="false" ht="15" hidden="false" customHeight="false" outlineLevel="0" collapsed="false">
      <c r="A850" s="34"/>
      <c r="B850" s="9"/>
      <c r="C850" s="9"/>
      <c r="D850" s="9"/>
      <c r="E850" s="9"/>
      <c r="F850" s="9"/>
      <c r="G850" s="35"/>
      <c r="H850" s="9"/>
    </row>
    <row r="851" customFormat="false" ht="15" hidden="false" customHeight="false" outlineLevel="0" collapsed="false">
      <c r="A851" s="34"/>
      <c r="B851" s="9"/>
      <c r="C851" s="9"/>
      <c r="D851" s="9"/>
      <c r="E851" s="9"/>
      <c r="F851" s="9"/>
      <c r="G851" s="35"/>
      <c r="H851" s="9"/>
    </row>
    <row r="852" customFormat="false" ht="15" hidden="false" customHeight="false" outlineLevel="0" collapsed="false">
      <c r="A852" s="34"/>
      <c r="B852" s="9"/>
      <c r="C852" s="9"/>
      <c r="D852" s="9"/>
      <c r="E852" s="9"/>
      <c r="F852" s="9"/>
      <c r="G852" s="35"/>
      <c r="H852" s="9"/>
    </row>
    <row r="853" customFormat="false" ht="15" hidden="false" customHeight="false" outlineLevel="0" collapsed="false">
      <c r="A853" s="34"/>
      <c r="B853" s="9"/>
      <c r="C853" s="9"/>
      <c r="D853" s="9"/>
      <c r="E853" s="9"/>
      <c r="F853" s="9"/>
      <c r="G853" s="35"/>
      <c r="H853" s="9"/>
    </row>
    <row r="854" customFormat="false" ht="15" hidden="false" customHeight="false" outlineLevel="0" collapsed="false">
      <c r="A854" s="34"/>
      <c r="B854" s="9"/>
      <c r="C854" s="9"/>
      <c r="D854" s="9"/>
      <c r="E854" s="9"/>
      <c r="F854" s="9"/>
      <c r="G854" s="35"/>
      <c r="H854" s="9"/>
    </row>
    <row r="855" customFormat="false" ht="15" hidden="false" customHeight="false" outlineLevel="0" collapsed="false">
      <c r="A855" s="34"/>
      <c r="B855" s="9"/>
      <c r="C855" s="9"/>
      <c r="D855" s="9"/>
      <c r="E855" s="9"/>
      <c r="F855" s="9"/>
      <c r="G855" s="35"/>
      <c r="H855" s="9"/>
    </row>
    <row r="856" customFormat="false" ht="15" hidden="false" customHeight="false" outlineLevel="0" collapsed="false">
      <c r="A856" s="34"/>
      <c r="B856" s="9"/>
      <c r="C856" s="9"/>
      <c r="D856" s="9"/>
      <c r="E856" s="9"/>
      <c r="F856" s="9"/>
      <c r="G856" s="35"/>
      <c r="H856" s="9"/>
    </row>
    <row r="857" customFormat="false" ht="15" hidden="false" customHeight="false" outlineLevel="0" collapsed="false">
      <c r="A857" s="34"/>
      <c r="B857" s="9"/>
      <c r="C857" s="9"/>
      <c r="D857" s="9"/>
      <c r="E857" s="9"/>
      <c r="F857" s="9"/>
      <c r="G857" s="35"/>
      <c r="H857" s="9"/>
    </row>
    <row r="858" customFormat="false" ht="15" hidden="false" customHeight="false" outlineLevel="0" collapsed="false">
      <c r="A858" s="34"/>
      <c r="B858" s="9"/>
      <c r="C858" s="9"/>
      <c r="D858" s="9"/>
      <c r="E858" s="9"/>
      <c r="F858" s="9"/>
      <c r="G858" s="35"/>
      <c r="H858" s="9"/>
    </row>
    <row r="859" customFormat="false" ht="15" hidden="false" customHeight="false" outlineLevel="0" collapsed="false">
      <c r="A859" s="34"/>
      <c r="B859" s="9"/>
      <c r="C859" s="9"/>
      <c r="D859" s="9"/>
      <c r="E859" s="9"/>
      <c r="F859" s="9"/>
      <c r="G859" s="35"/>
      <c r="H859" s="9"/>
    </row>
    <row r="860" customFormat="false" ht="15" hidden="false" customHeight="false" outlineLevel="0" collapsed="false">
      <c r="A860" s="34"/>
      <c r="B860" s="9"/>
      <c r="C860" s="9"/>
      <c r="D860" s="9"/>
      <c r="E860" s="9"/>
      <c r="F860" s="9"/>
      <c r="G860" s="35"/>
      <c r="H860" s="9"/>
    </row>
    <row r="861" customFormat="false" ht="15" hidden="false" customHeight="false" outlineLevel="0" collapsed="false">
      <c r="A861" s="34"/>
      <c r="B861" s="9"/>
      <c r="C861" s="9"/>
      <c r="D861" s="9"/>
      <c r="E861" s="9"/>
      <c r="F861" s="9"/>
      <c r="G861" s="35"/>
      <c r="H861" s="9"/>
    </row>
    <row r="862" customFormat="false" ht="15" hidden="false" customHeight="false" outlineLevel="0" collapsed="false">
      <c r="A862" s="34"/>
      <c r="B862" s="9"/>
      <c r="C862" s="9"/>
      <c r="D862" s="9"/>
      <c r="E862" s="9"/>
      <c r="F862" s="9"/>
      <c r="G862" s="35"/>
      <c r="H862" s="9"/>
    </row>
    <row r="863" customFormat="false" ht="15" hidden="false" customHeight="false" outlineLevel="0" collapsed="false">
      <c r="A863" s="34"/>
      <c r="B863" s="9"/>
      <c r="C863" s="9"/>
      <c r="D863" s="9"/>
      <c r="E863" s="9"/>
      <c r="F863" s="9"/>
      <c r="G863" s="35"/>
      <c r="H863" s="9"/>
    </row>
    <row r="864" customFormat="false" ht="15" hidden="false" customHeight="false" outlineLevel="0" collapsed="false">
      <c r="A864" s="34"/>
      <c r="B864" s="9"/>
      <c r="C864" s="9"/>
      <c r="D864" s="9"/>
      <c r="E864" s="9"/>
      <c r="F864" s="9"/>
      <c r="G864" s="35"/>
      <c r="H864" s="9"/>
    </row>
    <row r="865" customFormat="false" ht="15" hidden="false" customHeight="false" outlineLevel="0" collapsed="false">
      <c r="A865" s="34"/>
      <c r="B865" s="9"/>
      <c r="C865" s="9"/>
      <c r="D865" s="9"/>
      <c r="E865" s="9"/>
      <c r="F865" s="9"/>
      <c r="G865" s="35"/>
      <c r="H865" s="9"/>
    </row>
    <row r="866" customFormat="false" ht="15" hidden="false" customHeight="false" outlineLevel="0" collapsed="false">
      <c r="A866" s="34"/>
      <c r="B866" s="9"/>
      <c r="C866" s="9"/>
      <c r="D866" s="9"/>
      <c r="E866" s="9"/>
      <c r="F866" s="9"/>
      <c r="G866" s="35"/>
      <c r="H866" s="9"/>
    </row>
    <row r="867" customFormat="false" ht="15" hidden="false" customHeight="false" outlineLevel="0" collapsed="false">
      <c r="A867" s="34"/>
      <c r="B867" s="9"/>
      <c r="C867" s="9"/>
      <c r="D867" s="9"/>
      <c r="E867" s="9"/>
      <c r="F867" s="9"/>
      <c r="G867" s="35"/>
      <c r="H867" s="9"/>
    </row>
    <row r="868" customFormat="false" ht="15" hidden="false" customHeight="false" outlineLevel="0" collapsed="false">
      <c r="A868" s="34"/>
      <c r="B868" s="9"/>
      <c r="C868" s="9"/>
      <c r="D868" s="9"/>
      <c r="E868" s="9"/>
      <c r="F868" s="9"/>
      <c r="G868" s="35"/>
      <c r="H868" s="9"/>
    </row>
    <row r="869" customFormat="false" ht="15" hidden="false" customHeight="false" outlineLevel="0" collapsed="false">
      <c r="A869" s="34"/>
      <c r="B869" s="9"/>
      <c r="C869" s="9"/>
      <c r="D869" s="9"/>
      <c r="E869" s="9"/>
      <c r="F869" s="9"/>
      <c r="G869" s="35"/>
      <c r="H869" s="9"/>
    </row>
    <row r="870" customFormat="false" ht="15" hidden="false" customHeight="false" outlineLevel="0" collapsed="false">
      <c r="A870" s="34"/>
      <c r="B870" s="9"/>
      <c r="C870" s="9"/>
      <c r="D870" s="9"/>
      <c r="E870" s="9"/>
      <c r="F870" s="9"/>
      <c r="G870" s="35"/>
      <c r="H870" s="9"/>
    </row>
    <row r="871" customFormat="false" ht="15" hidden="false" customHeight="false" outlineLevel="0" collapsed="false">
      <c r="A871" s="34"/>
      <c r="B871" s="9"/>
      <c r="C871" s="9"/>
      <c r="D871" s="9"/>
      <c r="E871" s="9"/>
      <c r="F871" s="9"/>
      <c r="G871" s="35"/>
      <c r="H871" s="9"/>
    </row>
    <row r="872" customFormat="false" ht="15" hidden="false" customHeight="false" outlineLevel="0" collapsed="false">
      <c r="A872" s="34"/>
      <c r="B872" s="9"/>
      <c r="C872" s="9"/>
      <c r="D872" s="9"/>
      <c r="E872" s="9"/>
      <c r="F872" s="9"/>
      <c r="G872" s="35"/>
      <c r="H872" s="9"/>
    </row>
    <row r="873" customFormat="false" ht="15" hidden="false" customHeight="false" outlineLevel="0" collapsed="false">
      <c r="A873" s="34"/>
      <c r="B873" s="9"/>
      <c r="C873" s="9"/>
      <c r="D873" s="9"/>
      <c r="E873" s="9"/>
      <c r="F873" s="9"/>
      <c r="G873" s="35"/>
      <c r="H873" s="9"/>
    </row>
    <row r="874" customFormat="false" ht="15" hidden="false" customHeight="false" outlineLevel="0" collapsed="false">
      <c r="A874" s="34"/>
      <c r="B874" s="9"/>
      <c r="C874" s="9"/>
      <c r="D874" s="9"/>
      <c r="E874" s="9"/>
      <c r="F874" s="9"/>
      <c r="G874" s="35"/>
      <c r="H874" s="9"/>
    </row>
    <row r="875" customFormat="false" ht="15" hidden="false" customHeight="false" outlineLevel="0" collapsed="false">
      <c r="A875" s="34"/>
      <c r="B875" s="9"/>
      <c r="C875" s="9"/>
      <c r="D875" s="9"/>
      <c r="E875" s="9"/>
      <c r="F875" s="9"/>
      <c r="G875" s="35"/>
      <c r="H875" s="9"/>
    </row>
    <row r="876" customFormat="false" ht="15" hidden="false" customHeight="false" outlineLevel="0" collapsed="false">
      <c r="A876" s="34"/>
      <c r="B876" s="9"/>
      <c r="C876" s="9"/>
      <c r="D876" s="9"/>
      <c r="E876" s="9"/>
      <c r="F876" s="9"/>
      <c r="G876" s="35"/>
      <c r="H876" s="9"/>
    </row>
    <row r="877" customFormat="false" ht="15" hidden="false" customHeight="false" outlineLevel="0" collapsed="false">
      <c r="A877" s="34"/>
      <c r="B877" s="9"/>
      <c r="C877" s="9"/>
      <c r="D877" s="9"/>
      <c r="E877" s="9"/>
      <c r="F877" s="9"/>
      <c r="G877" s="35"/>
      <c r="H877" s="9"/>
    </row>
    <row r="878" customFormat="false" ht="15" hidden="false" customHeight="false" outlineLevel="0" collapsed="false">
      <c r="A878" s="34"/>
      <c r="B878" s="9"/>
      <c r="C878" s="9"/>
      <c r="D878" s="9"/>
      <c r="E878" s="9"/>
      <c r="F878" s="9"/>
      <c r="G878" s="35"/>
      <c r="H878" s="9"/>
    </row>
    <row r="879" customFormat="false" ht="15" hidden="false" customHeight="false" outlineLevel="0" collapsed="false">
      <c r="A879" s="34"/>
      <c r="B879" s="9"/>
      <c r="C879" s="9"/>
      <c r="D879" s="9"/>
      <c r="E879" s="9"/>
      <c r="F879" s="9"/>
      <c r="G879" s="35"/>
      <c r="H879" s="9"/>
    </row>
    <row r="880" customFormat="false" ht="15" hidden="false" customHeight="false" outlineLevel="0" collapsed="false">
      <c r="A880" s="34"/>
      <c r="B880" s="9"/>
      <c r="C880" s="9"/>
      <c r="D880" s="9"/>
      <c r="E880" s="9"/>
      <c r="F880" s="9"/>
      <c r="G880" s="35"/>
      <c r="H880" s="9"/>
    </row>
    <row r="881" customFormat="false" ht="15" hidden="false" customHeight="false" outlineLevel="0" collapsed="false">
      <c r="A881" s="34"/>
      <c r="B881" s="9"/>
      <c r="C881" s="9"/>
      <c r="D881" s="9"/>
      <c r="E881" s="9"/>
      <c r="F881" s="9"/>
      <c r="G881" s="35"/>
      <c r="H881" s="9"/>
    </row>
    <row r="882" customFormat="false" ht="15" hidden="false" customHeight="false" outlineLevel="0" collapsed="false">
      <c r="A882" s="34"/>
      <c r="B882" s="9"/>
      <c r="C882" s="9"/>
      <c r="D882" s="9"/>
      <c r="E882" s="9"/>
      <c r="F882" s="9"/>
      <c r="G882" s="35"/>
      <c r="H882" s="9"/>
    </row>
    <row r="883" customFormat="false" ht="15" hidden="false" customHeight="false" outlineLevel="0" collapsed="false">
      <c r="A883" s="34"/>
      <c r="B883" s="9"/>
      <c r="C883" s="9"/>
      <c r="D883" s="9"/>
      <c r="E883" s="9"/>
      <c r="F883" s="9"/>
      <c r="G883" s="35"/>
      <c r="H883" s="9"/>
    </row>
    <row r="884" customFormat="false" ht="15" hidden="false" customHeight="false" outlineLevel="0" collapsed="false">
      <c r="A884" s="34"/>
      <c r="B884" s="9"/>
      <c r="C884" s="9"/>
      <c r="D884" s="9"/>
      <c r="E884" s="9"/>
      <c r="F884" s="9"/>
      <c r="G884" s="35"/>
      <c r="H884" s="9"/>
    </row>
    <row r="885" customFormat="false" ht="15" hidden="false" customHeight="false" outlineLevel="0" collapsed="false">
      <c r="A885" s="34"/>
      <c r="B885" s="9"/>
      <c r="C885" s="9"/>
      <c r="D885" s="9"/>
      <c r="E885" s="9"/>
      <c r="F885" s="9"/>
      <c r="G885" s="35"/>
      <c r="H885" s="9"/>
    </row>
    <row r="886" customFormat="false" ht="15" hidden="false" customHeight="false" outlineLevel="0" collapsed="false">
      <c r="A886" s="34"/>
      <c r="B886" s="9"/>
      <c r="C886" s="9"/>
      <c r="D886" s="9"/>
      <c r="E886" s="9"/>
      <c r="F886" s="9"/>
      <c r="G886" s="35"/>
      <c r="H886" s="9"/>
    </row>
    <row r="887" customFormat="false" ht="15" hidden="false" customHeight="false" outlineLevel="0" collapsed="false">
      <c r="A887" s="34"/>
      <c r="B887" s="9"/>
      <c r="C887" s="9"/>
      <c r="D887" s="9"/>
      <c r="E887" s="9"/>
      <c r="F887" s="9"/>
      <c r="G887" s="35"/>
      <c r="H887" s="9"/>
    </row>
    <row r="888" customFormat="false" ht="15" hidden="false" customHeight="false" outlineLevel="0" collapsed="false">
      <c r="A888" s="34"/>
      <c r="B888" s="9"/>
      <c r="C888" s="9"/>
      <c r="D888" s="9"/>
      <c r="E888" s="9"/>
      <c r="F888" s="9"/>
      <c r="G888" s="35"/>
      <c r="H888" s="9"/>
    </row>
    <row r="889" customFormat="false" ht="15" hidden="false" customHeight="false" outlineLevel="0" collapsed="false">
      <c r="A889" s="34"/>
      <c r="B889" s="9"/>
      <c r="C889" s="9"/>
      <c r="D889" s="9"/>
      <c r="E889" s="9"/>
      <c r="F889" s="9"/>
      <c r="G889" s="35"/>
      <c r="H889" s="9"/>
    </row>
    <row r="890" customFormat="false" ht="15" hidden="false" customHeight="false" outlineLevel="0" collapsed="false">
      <c r="A890" s="34"/>
      <c r="B890" s="9"/>
      <c r="C890" s="9"/>
      <c r="D890" s="9"/>
      <c r="E890" s="9"/>
      <c r="F890" s="9"/>
      <c r="G890" s="35"/>
      <c r="H890" s="9"/>
    </row>
    <row r="891" customFormat="false" ht="15" hidden="false" customHeight="false" outlineLevel="0" collapsed="false">
      <c r="A891" s="34"/>
      <c r="B891" s="9"/>
      <c r="C891" s="9"/>
      <c r="D891" s="9"/>
      <c r="E891" s="9"/>
      <c r="F891" s="9"/>
      <c r="G891" s="35"/>
      <c r="H891" s="9"/>
    </row>
    <row r="892" customFormat="false" ht="15" hidden="false" customHeight="false" outlineLevel="0" collapsed="false">
      <c r="A892" s="34"/>
      <c r="B892" s="9"/>
      <c r="C892" s="9"/>
      <c r="D892" s="9"/>
      <c r="E892" s="9"/>
      <c r="F892" s="9"/>
      <c r="G892" s="35"/>
      <c r="H892" s="9"/>
    </row>
    <row r="893" customFormat="false" ht="15" hidden="false" customHeight="false" outlineLevel="0" collapsed="false">
      <c r="A893" s="34"/>
      <c r="B893" s="9"/>
      <c r="C893" s="9"/>
      <c r="D893" s="9"/>
      <c r="E893" s="9"/>
      <c r="F893" s="9"/>
      <c r="G893" s="35"/>
      <c r="H893" s="9"/>
    </row>
    <row r="894" customFormat="false" ht="15" hidden="false" customHeight="false" outlineLevel="0" collapsed="false">
      <c r="A894" s="34"/>
      <c r="B894" s="9"/>
      <c r="C894" s="9"/>
      <c r="D894" s="9"/>
      <c r="E894" s="9"/>
      <c r="F894" s="9"/>
      <c r="G894" s="35"/>
      <c r="H894" s="9"/>
    </row>
    <row r="895" customFormat="false" ht="15" hidden="false" customHeight="false" outlineLevel="0" collapsed="false">
      <c r="A895" s="34"/>
      <c r="B895" s="9"/>
      <c r="C895" s="9"/>
      <c r="D895" s="9"/>
      <c r="E895" s="9"/>
      <c r="F895" s="9"/>
      <c r="G895" s="35"/>
      <c r="H895" s="9"/>
    </row>
    <row r="896" customFormat="false" ht="15" hidden="false" customHeight="false" outlineLevel="0" collapsed="false">
      <c r="A896" s="34"/>
      <c r="B896" s="9"/>
      <c r="C896" s="9"/>
      <c r="D896" s="9"/>
      <c r="E896" s="9"/>
      <c r="F896" s="9"/>
      <c r="G896" s="35"/>
      <c r="H896" s="9"/>
    </row>
    <row r="897" customFormat="false" ht="15" hidden="false" customHeight="false" outlineLevel="0" collapsed="false">
      <c r="A897" s="34"/>
      <c r="B897" s="9"/>
      <c r="C897" s="9"/>
      <c r="D897" s="9"/>
      <c r="E897" s="9"/>
      <c r="F897" s="9"/>
      <c r="G897" s="35"/>
      <c r="H897" s="9"/>
    </row>
    <row r="898" customFormat="false" ht="15" hidden="false" customHeight="false" outlineLevel="0" collapsed="false">
      <c r="A898" s="34"/>
      <c r="B898" s="9"/>
      <c r="C898" s="9"/>
      <c r="D898" s="9"/>
      <c r="E898" s="9"/>
      <c r="F898" s="9"/>
      <c r="G898" s="35"/>
      <c r="H898" s="9"/>
    </row>
    <row r="899" customFormat="false" ht="15" hidden="false" customHeight="false" outlineLevel="0" collapsed="false">
      <c r="A899" s="34"/>
      <c r="B899" s="9"/>
      <c r="C899" s="9"/>
      <c r="D899" s="9"/>
      <c r="E899" s="9"/>
      <c r="F899" s="9"/>
      <c r="G899" s="35"/>
      <c r="H899" s="9"/>
    </row>
    <row r="900" customFormat="false" ht="15" hidden="false" customHeight="false" outlineLevel="0" collapsed="false">
      <c r="A900" s="34"/>
      <c r="B900" s="9"/>
      <c r="C900" s="9"/>
      <c r="D900" s="9"/>
      <c r="E900" s="9"/>
      <c r="F900" s="9"/>
      <c r="G900" s="35"/>
      <c r="H900" s="9"/>
    </row>
    <row r="901" customFormat="false" ht="15" hidden="false" customHeight="false" outlineLevel="0" collapsed="false">
      <c r="A901" s="34"/>
      <c r="B901" s="9"/>
      <c r="C901" s="9"/>
      <c r="D901" s="9"/>
      <c r="E901" s="9"/>
      <c r="F901" s="9"/>
      <c r="G901" s="35"/>
      <c r="H901" s="9"/>
    </row>
    <row r="902" customFormat="false" ht="15" hidden="false" customHeight="false" outlineLevel="0" collapsed="false">
      <c r="A902" s="34"/>
      <c r="B902" s="9"/>
      <c r="C902" s="9"/>
      <c r="D902" s="9"/>
      <c r="E902" s="9"/>
      <c r="F902" s="9"/>
      <c r="G902" s="35"/>
      <c r="H902" s="9"/>
    </row>
    <row r="903" customFormat="false" ht="15" hidden="false" customHeight="false" outlineLevel="0" collapsed="false">
      <c r="A903" s="34"/>
      <c r="B903" s="9"/>
      <c r="C903" s="9"/>
      <c r="D903" s="9"/>
      <c r="E903" s="9"/>
      <c r="F903" s="9"/>
      <c r="G903" s="35"/>
      <c r="H903" s="9"/>
    </row>
    <row r="904" customFormat="false" ht="15" hidden="false" customHeight="false" outlineLevel="0" collapsed="false">
      <c r="A904" s="34"/>
      <c r="B904" s="9"/>
      <c r="C904" s="9"/>
      <c r="D904" s="9"/>
      <c r="E904" s="9"/>
      <c r="F904" s="9"/>
      <c r="G904" s="35"/>
      <c r="H904" s="9"/>
    </row>
    <row r="905" customFormat="false" ht="15" hidden="false" customHeight="false" outlineLevel="0" collapsed="false">
      <c r="A905" s="34"/>
      <c r="B905" s="9"/>
      <c r="C905" s="9"/>
      <c r="D905" s="9"/>
      <c r="E905" s="9"/>
      <c r="F905" s="9"/>
      <c r="G905" s="35"/>
      <c r="H905" s="9"/>
    </row>
    <row r="906" customFormat="false" ht="15" hidden="false" customHeight="false" outlineLevel="0" collapsed="false">
      <c r="A906" s="34"/>
      <c r="B906" s="9"/>
      <c r="C906" s="9"/>
      <c r="D906" s="9"/>
      <c r="E906" s="9"/>
      <c r="F906" s="9"/>
      <c r="G906" s="35"/>
      <c r="H906" s="9"/>
    </row>
    <row r="907" customFormat="false" ht="15" hidden="false" customHeight="false" outlineLevel="0" collapsed="false">
      <c r="A907" s="34"/>
      <c r="B907" s="9"/>
      <c r="C907" s="9"/>
      <c r="D907" s="9"/>
      <c r="E907" s="9"/>
      <c r="F907" s="9"/>
      <c r="G907" s="35"/>
      <c r="H907" s="9"/>
    </row>
    <row r="908" customFormat="false" ht="15" hidden="false" customHeight="false" outlineLevel="0" collapsed="false">
      <c r="A908" s="34"/>
      <c r="B908" s="9"/>
      <c r="C908" s="9"/>
      <c r="D908" s="9"/>
      <c r="E908" s="9"/>
      <c r="F908" s="9"/>
      <c r="G908" s="35"/>
      <c r="H908" s="9"/>
    </row>
    <row r="909" customFormat="false" ht="15" hidden="false" customHeight="false" outlineLevel="0" collapsed="false">
      <c r="A909" s="34"/>
      <c r="B909" s="9"/>
      <c r="C909" s="9"/>
      <c r="D909" s="9"/>
      <c r="E909" s="9"/>
      <c r="F909" s="9"/>
      <c r="G909" s="35"/>
      <c r="H909" s="9"/>
    </row>
    <row r="910" customFormat="false" ht="15" hidden="false" customHeight="false" outlineLevel="0" collapsed="false">
      <c r="A910" s="34"/>
      <c r="B910" s="9"/>
      <c r="C910" s="9"/>
      <c r="D910" s="9"/>
      <c r="E910" s="9"/>
      <c r="F910" s="9"/>
      <c r="G910" s="35"/>
      <c r="H910" s="9"/>
    </row>
    <row r="911" customFormat="false" ht="15" hidden="false" customHeight="false" outlineLevel="0" collapsed="false">
      <c r="A911" s="34"/>
      <c r="B911" s="9"/>
      <c r="C911" s="9"/>
      <c r="D911" s="9"/>
      <c r="E911" s="9"/>
      <c r="F911" s="9"/>
      <c r="G911" s="35"/>
      <c r="H911" s="9"/>
    </row>
    <row r="912" customFormat="false" ht="15" hidden="false" customHeight="false" outlineLevel="0" collapsed="false">
      <c r="A912" s="34"/>
      <c r="B912" s="9"/>
      <c r="C912" s="9"/>
      <c r="D912" s="9"/>
      <c r="E912" s="9"/>
      <c r="F912" s="9"/>
      <c r="G912" s="35"/>
      <c r="H912" s="9"/>
    </row>
    <row r="913" customFormat="false" ht="15" hidden="false" customHeight="false" outlineLevel="0" collapsed="false">
      <c r="A913" s="34"/>
      <c r="B913" s="9"/>
      <c r="C913" s="9"/>
      <c r="D913" s="9"/>
      <c r="E913" s="9"/>
      <c r="F913" s="9"/>
      <c r="G913" s="35"/>
      <c r="H913" s="9"/>
    </row>
    <row r="914" customFormat="false" ht="15" hidden="false" customHeight="false" outlineLevel="0" collapsed="false">
      <c r="A914" s="34"/>
      <c r="B914" s="9"/>
      <c r="C914" s="9"/>
      <c r="D914" s="9"/>
      <c r="E914" s="9"/>
      <c r="F914" s="9"/>
      <c r="G914" s="35"/>
      <c r="H914" s="9"/>
    </row>
    <row r="915" customFormat="false" ht="15" hidden="false" customHeight="false" outlineLevel="0" collapsed="false">
      <c r="A915" s="34"/>
      <c r="B915" s="9"/>
      <c r="C915" s="9"/>
      <c r="D915" s="9"/>
      <c r="E915" s="9"/>
      <c r="F915" s="9"/>
      <c r="G915" s="35"/>
      <c r="H915" s="9"/>
    </row>
    <row r="916" customFormat="false" ht="15" hidden="false" customHeight="false" outlineLevel="0" collapsed="false">
      <c r="A916" s="34"/>
      <c r="B916" s="9"/>
      <c r="C916" s="9"/>
      <c r="D916" s="9"/>
      <c r="E916" s="9"/>
      <c r="F916" s="9"/>
      <c r="G916" s="35"/>
      <c r="H916" s="9"/>
    </row>
    <row r="917" customFormat="false" ht="15" hidden="false" customHeight="false" outlineLevel="0" collapsed="false">
      <c r="A917" s="34"/>
      <c r="B917" s="9"/>
      <c r="C917" s="9"/>
      <c r="D917" s="9"/>
      <c r="E917" s="9"/>
      <c r="F917" s="9"/>
      <c r="G917" s="35"/>
      <c r="H917" s="9"/>
    </row>
    <row r="918" customFormat="false" ht="15" hidden="false" customHeight="false" outlineLevel="0" collapsed="false">
      <c r="A918" s="34"/>
      <c r="B918" s="9"/>
      <c r="C918" s="9"/>
      <c r="D918" s="9"/>
      <c r="E918" s="9"/>
      <c r="F918" s="9"/>
      <c r="G918" s="35"/>
      <c r="H918" s="9"/>
    </row>
    <row r="919" customFormat="false" ht="15" hidden="false" customHeight="false" outlineLevel="0" collapsed="false">
      <c r="A919" s="34"/>
      <c r="B919" s="9"/>
      <c r="C919" s="9"/>
      <c r="D919" s="9"/>
      <c r="E919" s="9"/>
      <c r="F919" s="9"/>
      <c r="G919" s="35"/>
      <c r="H919" s="9"/>
    </row>
    <row r="920" customFormat="false" ht="15" hidden="false" customHeight="false" outlineLevel="0" collapsed="false">
      <c r="A920" s="34"/>
      <c r="B920" s="9"/>
      <c r="C920" s="9"/>
      <c r="D920" s="9"/>
      <c r="E920" s="9"/>
      <c r="F920" s="9"/>
      <c r="G920" s="35"/>
      <c r="H920" s="9"/>
    </row>
    <row r="921" customFormat="false" ht="15" hidden="false" customHeight="false" outlineLevel="0" collapsed="false">
      <c r="A921" s="34"/>
      <c r="B921" s="9"/>
      <c r="C921" s="9"/>
      <c r="D921" s="9"/>
      <c r="E921" s="9"/>
      <c r="F921" s="9"/>
      <c r="G921" s="35"/>
      <c r="H921" s="9"/>
    </row>
    <row r="922" customFormat="false" ht="15" hidden="false" customHeight="false" outlineLevel="0" collapsed="false">
      <c r="A922" s="34"/>
      <c r="B922" s="9"/>
      <c r="C922" s="9"/>
      <c r="D922" s="9"/>
      <c r="E922" s="9"/>
      <c r="F922" s="9"/>
      <c r="G922" s="35"/>
      <c r="H922" s="9"/>
    </row>
    <row r="923" customFormat="false" ht="15" hidden="false" customHeight="false" outlineLevel="0" collapsed="false">
      <c r="A923" s="34"/>
      <c r="B923" s="9"/>
      <c r="C923" s="9"/>
      <c r="D923" s="9"/>
      <c r="E923" s="9"/>
      <c r="F923" s="9"/>
      <c r="G923" s="35"/>
      <c r="H923" s="9"/>
    </row>
    <row r="924" customFormat="false" ht="15" hidden="false" customHeight="false" outlineLevel="0" collapsed="false">
      <c r="A924" s="34"/>
      <c r="B924" s="9"/>
      <c r="C924" s="9"/>
      <c r="D924" s="9"/>
      <c r="E924" s="9"/>
      <c r="F924" s="9"/>
      <c r="G924" s="35"/>
      <c r="H924" s="9"/>
    </row>
    <row r="925" customFormat="false" ht="15" hidden="false" customHeight="false" outlineLevel="0" collapsed="false">
      <c r="A925" s="34"/>
      <c r="B925" s="9"/>
      <c r="C925" s="9"/>
      <c r="D925" s="9"/>
      <c r="E925" s="9"/>
      <c r="F925" s="9"/>
      <c r="G925" s="35"/>
      <c r="H925" s="9"/>
    </row>
    <row r="926" customFormat="false" ht="15" hidden="false" customHeight="false" outlineLevel="0" collapsed="false">
      <c r="A926" s="34"/>
      <c r="B926" s="9"/>
      <c r="C926" s="9"/>
      <c r="D926" s="9"/>
      <c r="E926" s="9"/>
      <c r="F926" s="9"/>
      <c r="G926" s="35"/>
      <c r="H926" s="9"/>
    </row>
    <row r="927" customFormat="false" ht="15" hidden="false" customHeight="false" outlineLevel="0" collapsed="false">
      <c r="A927" s="34"/>
      <c r="B927" s="9"/>
      <c r="C927" s="9"/>
      <c r="D927" s="9"/>
      <c r="E927" s="9"/>
      <c r="F927" s="9"/>
      <c r="G927" s="35"/>
      <c r="H927" s="9"/>
    </row>
    <row r="928" customFormat="false" ht="15" hidden="false" customHeight="false" outlineLevel="0" collapsed="false">
      <c r="A928" s="34"/>
      <c r="B928" s="9"/>
      <c r="C928" s="9"/>
      <c r="D928" s="9"/>
      <c r="E928" s="9"/>
      <c r="F928" s="9"/>
      <c r="G928" s="35"/>
      <c r="H928" s="9"/>
    </row>
    <row r="929" customFormat="false" ht="15" hidden="false" customHeight="false" outlineLevel="0" collapsed="false">
      <c r="A929" s="34"/>
      <c r="B929" s="9"/>
      <c r="C929" s="9"/>
      <c r="D929" s="9"/>
      <c r="E929" s="9"/>
      <c r="F929" s="9"/>
      <c r="G929" s="35"/>
      <c r="H929" s="9"/>
    </row>
    <row r="930" customFormat="false" ht="15" hidden="false" customHeight="false" outlineLevel="0" collapsed="false">
      <c r="A930" s="34"/>
      <c r="B930" s="9"/>
      <c r="C930" s="9"/>
      <c r="D930" s="9"/>
      <c r="E930" s="9"/>
      <c r="F930" s="9"/>
      <c r="G930" s="35"/>
      <c r="H930" s="9"/>
    </row>
    <row r="931" customFormat="false" ht="15" hidden="false" customHeight="false" outlineLevel="0" collapsed="false">
      <c r="A931" s="34"/>
      <c r="B931" s="9"/>
      <c r="C931" s="9"/>
      <c r="D931" s="9"/>
      <c r="E931" s="9"/>
      <c r="F931" s="9"/>
      <c r="G931" s="35"/>
      <c r="H931" s="9"/>
    </row>
    <row r="932" customFormat="false" ht="15" hidden="false" customHeight="false" outlineLevel="0" collapsed="false">
      <c r="A932" s="34"/>
      <c r="B932" s="9"/>
      <c r="C932" s="9"/>
      <c r="D932" s="9"/>
      <c r="E932" s="9"/>
      <c r="F932" s="9"/>
      <c r="G932" s="35"/>
      <c r="H932" s="9"/>
    </row>
    <row r="933" customFormat="false" ht="15" hidden="false" customHeight="false" outlineLevel="0" collapsed="false">
      <c r="A933" s="34"/>
      <c r="B933" s="9"/>
      <c r="C933" s="9"/>
      <c r="D933" s="9"/>
      <c r="E933" s="9"/>
      <c r="F933" s="9"/>
      <c r="G933" s="35"/>
      <c r="H933" s="9"/>
    </row>
    <row r="934" customFormat="false" ht="15" hidden="false" customHeight="false" outlineLevel="0" collapsed="false">
      <c r="A934" s="34"/>
      <c r="B934" s="9"/>
      <c r="C934" s="9"/>
      <c r="D934" s="9"/>
      <c r="E934" s="9"/>
      <c r="F934" s="9"/>
      <c r="G934" s="35"/>
      <c r="H934" s="9"/>
    </row>
    <row r="935" customFormat="false" ht="15" hidden="false" customHeight="false" outlineLevel="0" collapsed="false">
      <c r="A935" s="34"/>
      <c r="B935" s="9"/>
      <c r="C935" s="9"/>
      <c r="D935" s="9"/>
      <c r="E935" s="9"/>
      <c r="F935" s="9"/>
      <c r="G935" s="35"/>
      <c r="H935" s="9"/>
    </row>
    <row r="936" customFormat="false" ht="15" hidden="false" customHeight="false" outlineLevel="0" collapsed="false">
      <c r="A936" s="34"/>
      <c r="B936" s="9"/>
      <c r="C936" s="9"/>
      <c r="D936" s="9"/>
      <c r="E936" s="9"/>
      <c r="F936" s="9"/>
      <c r="G936" s="35"/>
      <c r="H936" s="9"/>
    </row>
    <row r="937" customFormat="false" ht="15" hidden="false" customHeight="false" outlineLevel="0" collapsed="false">
      <c r="A937" s="34"/>
      <c r="B937" s="9"/>
      <c r="C937" s="9"/>
      <c r="D937" s="9"/>
      <c r="E937" s="9"/>
      <c r="F937" s="9"/>
      <c r="G937" s="35"/>
      <c r="H937" s="9"/>
    </row>
    <row r="938" customFormat="false" ht="15" hidden="false" customHeight="false" outlineLevel="0" collapsed="false">
      <c r="A938" s="34"/>
      <c r="B938" s="9"/>
      <c r="C938" s="9"/>
      <c r="D938" s="9"/>
      <c r="E938" s="9"/>
      <c r="F938" s="9"/>
      <c r="G938" s="35"/>
      <c r="H938" s="9"/>
    </row>
    <row r="939" customFormat="false" ht="15" hidden="false" customHeight="false" outlineLevel="0" collapsed="false">
      <c r="A939" s="34"/>
      <c r="B939" s="9"/>
      <c r="C939" s="9"/>
      <c r="D939" s="9"/>
      <c r="E939" s="9"/>
      <c r="F939" s="9"/>
      <c r="G939" s="35"/>
      <c r="H939" s="9"/>
    </row>
    <row r="940" customFormat="false" ht="15" hidden="false" customHeight="false" outlineLevel="0" collapsed="false">
      <c r="A940" s="34"/>
      <c r="B940" s="9"/>
      <c r="C940" s="9"/>
      <c r="D940" s="9"/>
      <c r="E940" s="9"/>
      <c r="F940" s="9"/>
      <c r="G940" s="35"/>
      <c r="H940" s="9"/>
    </row>
    <row r="941" customFormat="false" ht="15" hidden="false" customHeight="false" outlineLevel="0" collapsed="false">
      <c r="A941" s="34"/>
      <c r="B941" s="9"/>
      <c r="C941" s="9"/>
      <c r="D941" s="9"/>
      <c r="E941" s="9"/>
      <c r="F941" s="9"/>
      <c r="G941" s="35"/>
      <c r="H941" s="9"/>
    </row>
    <row r="942" customFormat="false" ht="15" hidden="false" customHeight="false" outlineLevel="0" collapsed="false">
      <c r="A942" s="34"/>
      <c r="B942" s="9"/>
      <c r="C942" s="9"/>
      <c r="D942" s="9"/>
      <c r="E942" s="9"/>
      <c r="F942" s="9"/>
      <c r="G942" s="35"/>
      <c r="H942" s="9"/>
    </row>
    <row r="943" customFormat="false" ht="15" hidden="false" customHeight="false" outlineLevel="0" collapsed="false">
      <c r="A943" s="34"/>
      <c r="B943" s="9"/>
      <c r="C943" s="9"/>
      <c r="D943" s="9"/>
      <c r="E943" s="9"/>
      <c r="F943" s="9"/>
      <c r="G943" s="35"/>
      <c r="H943" s="9"/>
    </row>
    <row r="944" customFormat="false" ht="15" hidden="false" customHeight="false" outlineLevel="0" collapsed="false">
      <c r="A944" s="34"/>
      <c r="B944" s="9"/>
      <c r="C944" s="9"/>
      <c r="D944" s="9"/>
      <c r="E944" s="9"/>
      <c r="F944" s="9"/>
      <c r="G944" s="35"/>
      <c r="H944" s="9"/>
    </row>
    <row r="945" customFormat="false" ht="15" hidden="false" customHeight="false" outlineLevel="0" collapsed="false">
      <c r="A945" s="34"/>
      <c r="B945" s="9"/>
      <c r="C945" s="9"/>
      <c r="D945" s="9"/>
      <c r="E945" s="9"/>
      <c r="F945" s="9"/>
      <c r="G945" s="35"/>
      <c r="H945" s="9"/>
    </row>
    <row r="946" customFormat="false" ht="15" hidden="false" customHeight="false" outlineLevel="0" collapsed="false">
      <c r="A946" s="34"/>
      <c r="B946" s="9"/>
      <c r="C946" s="9"/>
      <c r="D946" s="9"/>
      <c r="E946" s="9"/>
      <c r="F946" s="9"/>
      <c r="G946" s="35"/>
      <c r="H946" s="9"/>
    </row>
    <row r="947" customFormat="false" ht="15" hidden="false" customHeight="false" outlineLevel="0" collapsed="false">
      <c r="A947" s="34"/>
      <c r="B947" s="9"/>
      <c r="C947" s="9"/>
      <c r="D947" s="9"/>
      <c r="E947" s="9"/>
      <c r="F947" s="9"/>
      <c r="G947" s="35"/>
      <c r="H947" s="9"/>
    </row>
    <row r="948" customFormat="false" ht="15" hidden="false" customHeight="false" outlineLevel="0" collapsed="false">
      <c r="A948" s="34"/>
      <c r="B948" s="9"/>
      <c r="C948" s="9"/>
      <c r="D948" s="9"/>
      <c r="E948" s="9"/>
      <c r="F948" s="9"/>
      <c r="G948" s="35"/>
      <c r="H948" s="9"/>
    </row>
    <row r="949" customFormat="false" ht="15" hidden="false" customHeight="false" outlineLevel="0" collapsed="false">
      <c r="A949" s="34"/>
      <c r="B949" s="9"/>
      <c r="C949" s="9"/>
      <c r="D949" s="9"/>
      <c r="E949" s="9"/>
      <c r="F949" s="9"/>
      <c r="G949" s="35"/>
      <c r="H949" s="9"/>
    </row>
    <row r="950" customFormat="false" ht="15" hidden="false" customHeight="false" outlineLevel="0" collapsed="false">
      <c r="A950" s="34"/>
      <c r="B950" s="9"/>
      <c r="C950" s="9"/>
      <c r="D950" s="9"/>
      <c r="E950" s="9"/>
      <c r="F950" s="9"/>
      <c r="G950" s="35"/>
      <c r="H950" s="9"/>
    </row>
    <row r="951" customFormat="false" ht="15" hidden="false" customHeight="false" outlineLevel="0" collapsed="false">
      <c r="A951" s="34"/>
      <c r="B951" s="9"/>
      <c r="C951" s="9"/>
      <c r="D951" s="9"/>
      <c r="E951" s="9"/>
      <c r="F951" s="9"/>
      <c r="G951" s="35"/>
      <c r="H951" s="9"/>
    </row>
    <row r="952" customFormat="false" ht="15" hidden="false" customHeight="false" outlineLevel="0" collapsed="false">
      <c r="A952" s="34"/>
      <c r="B952" s="9"/>
      <c r="C952" s="9"/>
      <c r="D952" s="9"/>
      <c r="E952" s="9"/>
      <c r="F952" s="9"/>
      <c r="G952" s="35"/>
      <c r="H952" s="9"/>
    </row>
    <row r="953" customFormat="false" ht="15" hidden="false" customHeight="false" outlineLevel="0" collapsed="false">
      <c r="A953" s="34"/>
      <c r="B953" s="9"/>
      <c r="C953" s="9"/>
      <c r="D953" s="9"/>
      <c r="E953" s="9"/>
      <c r="F953" s="9"/>
      <c r="G953" s="35"/>
      <c r="H953" s="9"/>
    </row>
    <row r="954" customFormat="false" ht="15" hidden="false" customHeight="false" outlineLevel="0" collapsed="false">
      <c r="A954" s="34"/>
      <c r="B954" s="9"/>
      <c r="C954" s="9"/>
      <c r="D954" s="9"/>
      <c r="E954" s="9"/>
      <c r="F954" s="9"/>
      <c r="G954" s="35"/>
      <c r="H954" s="9"/>
    </row>
    <row r="955" customFormat="false" ht="15" hidden="false" customHeight="false" outlineLevel="0" collapsed="false">
      <c r="A955" s="34"/>
      <c r="B955" s="9"/>
      <c r="C955" s="9"/>
      <c r="D955" s="9"/>
      <c r="E955" s="9"/>
      <c r="F955" s="9"/>
      <c r="G955" s="35"/>
      <c r="H955" s="9"/>
    </row>
    <row r="956" customFormat="false" ht="15" hidden="false" customHeight="false" outlineLevel="0" collapsed="false">
      <c r="A956" s="34"/>
      <c r="B956" s="9"/>
      <c r="C956" s="9"/>
      <c r="D956" s="9"/>
      <c r="E956" s="9"/>
      <c r="F956" s="9"/>
      <c r="G956" s="35"/>
      <c r="H956" s="9"/>
    </row>
    <row r="957" customFormat="false" ht="15" hidden="false" customHeight="false" outlineLevel="0" collapsed="false">
      <c r="A957" s="34"/>
      <c r="B957" s="9"/>
      <c r="C957" s="9"/>
      <c r="D957" s="9"/>
      <c r="E957" s="9"/>
      <c r="F957" s="9"/>
      <c r="G957" s="35"/>
      <c r="H957" s="9"/>
    </row>
    <row r="958" customFormat="false" ht="15" hidden="false" customHeight="false" outlineLevel="0" collapsed="false">
      <c r="A958" s="34"/>
      <c r="B958" s="9"/>
      <c r="C958" s="9"/>
      <c r="D958" s="9"/>
      <c r="E958" s="9"/>
      <c r="F958" s="9"/>
      <c r="G958" s="35"/>
      <c r="H958" s="9"/>
    </row>
    <row r="959" customFormat="false" ht="15" hidden="false" customHeight="false" outlineLevel="0" collapsed="false">
      <c r="A959" s="34"/>
      <c r="B959" s="9"/>
      <c r="C959" s="9"/>
      <c r="D959" s="9"/>
      <c r="E959" s="9"/>
      <c r="F959" s="9"/>
      <c r="G959" s="35"/>
      <c r="H959" s="9"/>
    </row>
    <row r="960" customFormat="false" ht="15" hidden="false" customHeight="false" outlineLevel="0" collapsed="false">
      <c r="A960" s="34"/>
      <c r="B960" s="9"/>
      <c r="C960" s="9"/>
      <c r="D960" s="9"/>
      <c r="E960" s="9"/>
      <c r="F960" s="9"/>
      <c r="G960" s="35"/>
      <c r="H960" s="9"/>
    </row>
    <row r="961" customFormat="false" ht="15" hidden="false" customHeight="false" outlineLevel="0" collapsed="false">
      <c r="A961" s="34"/>
      <c r="B961" s="9"/>
      <c r="C961" s="9"/>
      <c r="D961" s="9"/>
      <c r="E961" s="9"/>
      <c r="F961" s="9"/>
      <c r="G961" s="35"/>
      <c r="H961" s="9"/>
    </row>
    <row r="962" customFormat="false" ht="15" hidden="false" customHeight="false" outlineLevel="0" collapsed="false">
      <c r="A962" s="34"/>
      <c r="B962" s="9"/>
      <c r="C962" s="9"/>
      <c r="D962" s="9"/>
      <c r="E962" s="9"/>
      <c r="F962" s="9"/>
      <c r="G962" s="35"/>
      <c r="H962" s="9"/>
    </row>
    <row r="963" customFormat="false" ht="15" hidden="false" customHeight="false" outlineLevel="0" collapsed="false">
      <c r="A963" s="34"/>
      <c r="B963" s="9"/>
      <c r="C963" s="9"/>
      <c r="D963" s="9"/>
      <c r="E963" s="9"/>
      <c r="F963" s="9"/>
      <c r="G963" s="35"/>
      <c r="H963" s="9"/>
    </row>
    <row r="964" customFormat="false" ht="15" hidden="false" customHeight="false" outlineLevel="0" collapsed="false">
      <c r="A964" s="34"/>
      <c r="B964" s="9"/>
      <c r="C964" s="9"/>
      <c r="D964" s="9"/>
      <c r="E964" s="9"/>
      <c r="F964" s="9"/>
      <c r="G964" s="35"/>
      <c r="H964" s="9"/>
    </row>
    <row r="965" customFormat="false" ht="15" hidden="false" customHeight="false" outlineLevel="0" collapsed="false">
      <c r="A965" s="34"/>
      <c r="B965" s="9"/>
      <c r="C965" s="9"/>
      <c r="D965" s="9"/>
      <c r="E965" s="9"/>
      <c r="F965" s="9"/>
      <c r="G965" s="35"/>
      <c r="H965" s="9"/>
    </row>
    <row r="966" customFormat="false" ht="15" hidden="false" customHeight="false" outlineLevel="0" collapsed="false">
      <c r="A966" s="34"/>
      <c r="B966" s="9"/>
      <c r="C966" s="9"/>
      <c r="D966" s="9"/>
      <c r="E966" s="9"/>
      <c r="F966" s="9"/>
      <c r="G966" s="35"/>
      <c r="H966" s="9"/>
    </row>
    <row r="967" customFormat="false" ht="15" hidden="false" customHeight="false" outlineLevel="0" collapsed="false">
      <c r="A967" s="34"/>
      <c r="B967" s="9"/>
      <c r="C967" s="9"/>
      <c r="D967" s="9"/>
      <c r="E967" s="9"/>
      <c r="F967" s="9"/>
      <c r="G967" s="35"/>
      <c r="H967" s="9"/>
    </row>
    <row r="968" customFormat="false" ht="15" hidden="false" customHeight="false" outlineLevel="0" collapsed="false">
      <c r="A968" s="34"/>
      <c r="B968" s="9"/>
      <c r="C968" s="9"/>
      <c r="D968" s="9"/>
      <c r="E968" s="9"/>
      <c r="F968" s="9"/>
      <c r="G968" s="35"/>
      <c r="H968" s="9"/>
    </row>
    <row r="969" customFormat="false" ht="15" hidden="false" customHeight="false" outlineLevel="0" collapsed="false">
      <c r="A969" s="34"/>
      <c r="B969" s="9"/>
      <c r="C969" s="9"/>
      <c r="D969" s="9"/>
      <c r="E969" s="9"/>
      <c r="F969" s="9"/>
      <c r="G969" s="35"/>
      <c r="H969" s="9"/>
    </row>
    <row r="970" customFormat="false" ht="15" hidden="false" customHeight="false" outlineLevel="0" collapsed="false">
      <c r="A970" s="34"/>
      <c r="B970" s="9"/>
      <c r="C970" s="9"/>
      <c r="D970" s="9"/>
      <c r="E970" s="9"/>
      <c r="F970" s="9"/>
      <c r="G970" s="35"/>
      <c r="H970" s="9"/>
    </row>
    <row r="971" customFormat="false" ht="15" hidden="false" customHeight="false" outlineLevel="0" collapsed="false">
      <c r="A971" s="34"/>
      <c r="B971" s="9"/>
      <c r="C971" s="9"/>
      <c r="D971" s="9"/>
      <c r="E971" s="9"/>
      <c r="F971" s="9"/>
      <c r="G971" s="35"/>
      <c r="H971" s="9"/>
    </row>
    <row r="972" customFormat="false" ht="15" hidden="false" customHeight="false" outlineLevel="0" collapsed="false">
      <c r="A972" s="34"/>
      <c r="B972" s="9"/>
      <c r="C972" s="9"/>
      <c r="D972" s="9"/>
      <c r="E972" s="9"/>
      <c r="F972" s="9"/>
      <c r="G972" s="35"/>
      <c r="H972" s="9"/>
    </row>
    <row r="973" customFormat="false" ht="15" hidden="false" customHeight="false" outlineLevel="0" collapsed="false">
      <c r="A973" s="34"/>
      <c r="B973" s="9"/>
      <c r="C973" s="9"/>
      <c r="D973" s="9"/>
      <c r="E973" s="9"/>
      <c r="F973" s="9"/>
      <c r="G973" s="35"/>
      <c r="H973" s="9"/>
    </row>
    <row r="974" customFormat="false" ht="15" hidden="false" customHeight="false" outlineLevel="0" collapsed="false">
      <c r="A974" s="34"/>
      <c r="B974" s="9"/>
      <c r="C974" s="9"/>
      <c r="D974" s="9"/>
      <c r="E974" s="9"/>
      <c r="F974" s="9"/>
      <c r="G974" s="35"/>
      <c r="H974" s="9"/>
    </row>
    <row r="975" customFormat="false" ht="15" hidden="false" customHeight="false" outlineLevel="0" collapsed="false">
      <c r="A975" s="34"/>
      <c r="B975" s="9"/>
      <c r="C975" s="9"/>
      <c r="D975" s="9"/>
      <c r="E975" s="9"/>
      <c r="F975" s="9"/>
      <c r="G975" s="35"/>
      <c r="H975" s="9"/>
    </row>
    <row r="976" customFormat="false" ht="15" hidden="false" customHeight="false" outlineLevel="0" collapsed="false">
      <c r="A976" s="34"/>
      <c r="B976" s="9"/>
      <c r="C976" s="9"/>
      <c r="D976" s="9"/>
      <c r="E976" s="9"/>
      <c r="F976" s="9"/>
      <c r="G976" s="35"/>
      <c r="H976" s="9"/>
    </row>
    <row r="977" customFormat="false" ht="15" hidden="false" customHeight="false" outlineLevel="0" collapsed="false">
      <c r="A977" s="34"/>
      <c r="B977" s="9"/>
      <c r="C977" s="9"/>
      <c r="D977" s="9"/>
      <c r="E977" s="9"/>
      <c r="F977" s="9"/>
      <c r="G977" s="35"/>
      <c r="H977" s="9"/>
    </row>
    <row r="978" customFormat="false" ht="15" hidden="false" customHeight="false" outlineLevel="0" collapsed="false">
      <c r="A978" s="34"/>
      <c r="B978" s="9"/>
      <c r="C978" s="9"/>
      <c r="D978" s="9"/>
      <c r="E978" s="9"/>
      <c r="F978" s="9"/>
      <c r="G978" s="35"/>
      <c r="H978" s="9"/>
    </row>
    <row r="979" customFormat="false" ht="15" hidden="false" customHeight="false" outlineLevel="0" collapsed="false">
      <c r="A979" s="34"/>
      <c r="B979" s="9"/>
      <c r="C979" s="9"/>
      <c r="D979" s="9"/>
      <c r="E979" s="9"/>
      <c r="F979" s="9"/>
      <c r="G979" s="35"/>
      <c r="H979" s="9"/>
    </row>
    <row r="980" customFormat="false" ht="15" hidden="false" customHeight="false" outlineLevel="0" collapsed="false">
      <c r="A980" s="34"/>
      <c r="B980" s="9"/>
      <c r="C980" s="9"/>
      <c r="D980" s="9"/>
      <c r="E980" s="9"/>
      <c r="F980" s="9"/>
      <c r="G980" s="35"/>
      <c r="H980" s="9"/>
    </row>
    <row r="981" customFormat="false" ht="15" hidden="false" customHeight="false" outlineLevel="0" collapsed="false">
      <c r="A981" s="34"/>
      <c r="B981" s="9"/>
      <c r="C981" s="9"/>
      <c r="D981" s="9"/>
      <c r="E981" s="9"/>
      <c r="F981" s="9"/>
      <c r="G981" s="35"/>
      <c r="H981" s="9"/>
    </row>
    <row r="982" customFormat="false" ht="15" hidden="false" customHeight="false" outlineLevel="0" collapsed="false">
      <c r="A982" s="34"/>
      <c r="B982" s="9"/>
      <c r="C982" s="9"/>
      <c r="D982" s="9"/>
      <c r="E982" s="9"/>
      <c r="F982" s="9"/>
      <c r="G982" s="35"/>
      <c r="H982" s="9"/>
    </row>
    <row r="983" customFormat="false" ht="15" hidden="false" customHeight="false" outlineLevel="0" collapsed="false">
      <c r="A983" s="34"/>
      <c r="B983" s="9"/>
      <c r="C983" s="9"/>
      <c r="D983" s="9"/>
      <c r="E983" s="9"/>
      <c r="F983" s="9"/>
      <c r="G983" s="35"/>
      <c r="H983" s="9"/>
    </row>
    <row r="984" customFormat="false" ht="15" hidden="false" customHeight="false" outlineLevel="0" collapsed="false">
      <c r="A984" s="34"/>
      <c r="B984" s="9"/>
      <c r="C984" s="9"/>
      <c r="D984" s="9"/>
      <c r="E984" s="9"/>
      <c r="F984" s="9"/>
      <c r="G984" s="35"/>
      <c r="H984" s="9"/>
    </row>
    <row r="985" customFormat="false" ht="15" hidden="false" customHeight="false" outlineLevel="0" collapsed="false">
      <c r="A985" s="34"/>
      <c r="B985" s="9"/>
      <c r="C985" s="9"/>
      <c r="D985" s="9"/>
      <c r="E985" s="9"/>
      <c r="F985" s="9"/>
      <c r="G985" s="35"/>
      <c r="H985" s="9"/>
    </row>
    <row r="986" customFormat="false" ht="15" hidden="false" customHeight="false" outlineLevel="0" collapsed="false">
      <c r="A986" s="34"/>
      <c r="B986" s="9"/>
      <c r="C986" s="9"/>
      <c r="D986" s="9"/>
      <c r="E986" s="9"/>
      <c r="F986" s="9"/>
      <c r="G986" s="35"/>
      <c r="H986" s="9"/>
    </row>
    <row r="987" customFormat="false" ht="15" hidden="false" customHeight="false" outlineLevel="0" collapsed="false">
      <c r="A987" s="34"/>
      <c r="B987" s="9"/>
      <c r="C987" s="9"/>
      <c r="D987" s="9"/>
      <c r="E987" s="9"/>
      <c r="F987" s="9"/>
      <c r="G987" s="35"/>
      <c r="H987" s="9"/>
    </row>
    <row r="988" customFormat="false" ht="15" hidden="false" customHeight="false" outlineLevel="0" collapsed="false">
      <c r="A988" s="34"/>
      <c r="B988" s="9"/>
      <c r="C988" s="9"/>
      <c r="D988" s="9"/>
      <c r="E988" s="9"/>
      <c r="F988" s="9"/>
      <c r="G988" s="35"/>
      <c r="H988" s="9"/>
    </row>
    <row r="989" customFormat="false" ht="15" hidden="false" customHeight="false" outlineLevel="0" collapsed="false">
      <c r="A989" s="34"/>
      <c r="B989" s="9"/>
      <c r="C989" s="9"/>
      <c r="D989" s="9"/>
      <c r="E989" s="9"/>
      <c r="F989" s="9"/>
      <c r="G989" s="35"/>
      <c r="H989" s="9"/>
    </row>
    <row r="990" customFormat="false" ht="15" hidden="false" customHeight="false" outlineLevel="0" collapsed="false">
      <c r="A990" s="34"/>
      <c r="B990" s="9"/>
      <c r="C990" s="9"/>
      <c r="D990" s="9"/>
      <c r="E990" s="9"/>
      <c r="F990" s="9"/>
      <c r="G990" s="35"/>
      <c r="H990" s="9"/>
    </row>
    <row r="991" customFormat="false" ht="15" hidden="false" customHeight="false" outlineLevel="0" collapsed="false">
      <c r="A991" s="34"/>
      <c r="B991" s="9"/>
      <c r="C991" s="9"/>
      <c r="D991" s="9"/>
      <c r="E991" s="9"/>
      <c r="F991" s="9"/>
      <c r="G991" s="35"/>
      <c r="H991" s="9"/>
    </row>
    <row r="992" customFormat="false" ht="15" hidden="false" customHeight="false" outlineLevel="0" collapsed="false">
      <c r="A992" s="34"/>
      <c r="B992" s="9"/>
      <c r="C992" s="9"/>
      <c r="D992" s="9"/>
      <c r="E992" s="9"/>
      <c r="F992" s="9"/>
      <c r="G992" s="35"/>
      <c r="H992" s="9"/>
    </row>
    <row r="993" customFormat="false" ht="15" hidden="false" customHeight="false" outlineLevel="0" collapsed="false">
      <c r="A993" s="34"/>
      <c r="B993" s="9"/>
      <c r="C993" s="9"/>
      <c r="D993" s="9"/>
      <c r="E993" s="9"/>
      <c r="F993" s="9"/>
      <c r="G993" s="35"/>
      <c r="H993" s="9"/>
    </row>
    <row r="994" customFormat="false" ht="15" hidden="false" customHeight="false" outlineLevel="0" collapsed="false">
      <c r="A994" s="34"/>
      <c r="B994" s="9"/>
      <c r="C994" s="9"/>
      <c r="D994" s="9"/>
      <c r="E994" s="9"/>
      <c r="F994" s="9"/>
      <c r="G994" s="35"/>
      <c r="H994" s="9"/>
    </row>
    <row r="995" customFormat="false" ht="15" hidden="false" customHeight="false" outlineLevel="0" collapsed="false">
      <c r="A995" s="34"/>
      <c r="B995" s="9"/>
      <c r="C995" s="9"/>
      <c r="D995" s="9"/>
      <c r="E995" s="9"/>
      <c r="F995" s="9"/>
      <c r="G995" s="35"/>
      <c r="H995" s="9"/>
    </row>
    <row r="996" customFormat="false" ht="15" hidden="false" customHeight="false" outlineLevel="0" collapsed="false">
      <c r="A996" s="34"/>
      <c r="B996" s="9"/>
      <c r="C996" s="9"/>
      <c r="D996" s="9"/>
      <c r="E996" s="9"/>
      <c r="F996" s="9"/>
      <c r="G996" s="35"/>
      <c r="H996" s="9"/>
    </row>
    <row r="997" customFormat="false" ht="15" hidden="false" customHeight="false" outlineLevel="0" collapsed="false">
      <c r="A997" s="34"/>
      <c r="B997" s="9"/>
      <c r="C997" s="9"/>
      <c r="D997" s="9"/>
      <c r="E997" s="9"/>
      <c r="F997" s="9"/>
      <c r="G997" s="35"/>
      <c r="H997" s="9"/>
    </row>
    <row r="998" customFormat="false" ht="15" hidden="false" customHeight="false" outlineLevel="0" collapsed="false">
      <c r="A998" s="34"/>
      <c r="B998" s="9"/>
      <c r="C998" s="9"/>
      <c r="D998" s="9"/>
      <c r="E998" s="9"/>
      <c r="F998" s="9"/>
      <c r="G998" s="35"/>
      <c r="H998" s="9"/>
    </row>
    <row r="999" customFormat="false" ht="15" hidden="false" customHeight="false" outlineLevel="0" collapsed="false">
      <c r="A999" s="34"/>
      <c r="B999" s="9"/>
      <c r="C999" s="9"/>
      <c r="D999" s="9"/>
      <c r="E999" s="9"/>
      <c r="F999" s="9"/>
      <c r="G999" s="35"/>
      <c r="H999" s="9"/>
    </row>
    <row r="1000" customFormat="false" ht="15" hidden="false" customHeight="false" outlineLevel="0" collapsed="false">
      <c r="A1000" s="34"/>
      <c r="B1000" s="9"/>
      <c r="C1000" s="9"/>
      <c r="D1000" s="9"/>
      <c r="E1000" s="9"/>
      <c r="F1000" s="9"/>
      <c r="G1000" s="35"/>
      <c r="H1000" s="9"/>
    </row>
    <row r="1001" customFormat="false" ht="15" hidden="false" customHeight="false" outlineLevel="0" collapsed="false">
      <c r="A1001" s="34"/>
      <c r="B1001" s="9"/>
      <c r="C1001" s="9"/>
      <c r="D1001" s="9"/>
      <c r="E1001" s="9"/>
      <c r="F1001" s="9"/>
      <c r="G1001" s="35"/>
      <c r="H1001" s="9"/>
    </row>
    <row r="1002" customFormat="false" ht="15" hidden="false" customHeight="false" outlineLevel="0" collapsed="false">
      <c r="A1002" s="34"/>
      <c r="B1002" s="9"/>
      <c r="C1002" s="9"/>
      <c r="D1002" s="9"/>
      <c r="E1002" s="9"/>
      <c r="F1002" s="9"/>
      <c r="G1002" s="35"/>
      <c r="H1002" s="9"/>
    </row>
    <row r="1003" customFormat="false" ht="15" hidden="false" customHeight="false" outlineLevel="0" collapsed="false">
      <c r="A1003" s="34"/>
      <c r="B1003" s="9"/>
      <c r="C1003" s="9"/>
      <c r="D1003" s="9"/>
      <c r="E1003" s="9"/>
      <c r="F1003" s="9"/>
      <c r="G1003" s="35"/>
      <c r="H1003" s="9"/>
    </row>
    <row r="1004" customFormat="false" ht="15" hidden="false" customHeight="false" outlineLevel="0" collapsed="false">
      <c r="A1004" s="34"/>
      <c r="B1004" s="9"/>
      <c r="C1004" s="9"/>
      <c r="D1004" s="9"/>
      <c r="E1004" s="9"/>
      <c r="F1004" s="9"/>
      <c r="G1004" s="35"/>
      <c r="H1004" s="9"/>
    </row>
  </sheetData>
  <autoFilter ref="A4:H1004"/>
  <dataValidations count="3">
    <dataValidation allowBlank="false" error="Saisissez une date valide (jj/mm/aaaa)" errorStyle="stop" operator="greaterThan" showDropDown="false" showErrorMessage="true" showInputMessage="false" sqref="A5:A1004" type="date">
      <formula1>36526</formula1>
      <formula2>0</formula2>
    </dataValidation>
    <dataValidation allowBlank="false" errorStyle="stop" operator="between" showDropDown="false" showErrorMessage="false" showInputMessage="false" sqref="E5:E1004" type="list">
      <formula1>Paramètres!$G$5:$G$19</formula1>
      <formula2>0</formula2>
    </dataValidation>
    <dataValidation allowBlank="false" errorStyle="stop" operator="between" showDropDown="false" showErrorMessage="false" showInputMessage="false" sqref="F5:F1004" type="list">
      <formula1>Paramètres!$F$5:$F$19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20"/>
    <col collapsed="false" customWidth="true" hidden="false" outlineLevel="0" max="11" min="6" style="0" width="13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5" min="14" style="0" width="10"/>
  </cols>
  <sheetData>
    <row r="1" customFormat="false" ht="19.7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3" customFormat="false" ht="15" hidden="false" customHeight="false" outlineLevel="0" collapsed="false">
      <c r="A3" s="36" t="s">
        <v>145</v>
      </c>
      <c r="B3" s="36"/>
      <c r="C3" s="37" t="n">
        <f aca="false">COUNTIF(L7:L1006,"En stock")</f>
        <v>1</v>
      </c>
      <c r="D3" s="36" t="s">
        <v>146</v>
      </c>
      <c r="E3" s="36"/>
      <c r="F3" s="20" t="n">
        <f aca="false">SUMIFS(F7:F1006,L7:L1006,"En stock")+SUMIFS(G7:G1006,L7:L1006,"En stock")</f>
        <v>8</v>
      </c>
      <c r="G3" s="29" t="s">
        <v>147</v>
      </c>
      <c r="H3" s="37" t="n">
        <f aca="false">COUNTIF(L7:L1006,"Vendu")</f>
        <v>1</v>
      </c>
      <c r="I3" s="29" t="s">
        <v>148</v>
      </c>
      <c r="J3" s="20" t="n">
        <f aca="false">SUM(M7:M1006)</f>
        <v>37.5</v>
      </c>
      <c r="K3" s="36" t="s">
        <v>149</v>
      </c>
      <c r="L3" s="36"/>
      <c r="M3" s="38" t="n">
        <f aca="false">IFERROR(SUM(M7:M1006)/SUMIFS(J7:J1006,L7:L1006,"Vendu"),0)</f>
        <v>0.576923076923077</v>
      </c>
    </row>
    <row r="4" customFormat="false" ht="15" hidden="false" customHeight="false" outlineLevel="0" collapsed="false">
      <c r="A4" s="2" t="s">
        <v>150</v>
      </c>
    </row>
    <row r="6" customFormat="false" ht="31.5" hidden="false" customHeight="true" outlineLevel="0" collapsed="false">
      <c r="A6" s="14" t="s">
        <v>151</v>
      </c>
      <c r="B6" s="14" t="s">
        <v>152</v>
      </c>
      <c r="C6" s="14" t="s">
        <v>153</v>
      </c>
      <c r="D6" s="14" t="s">
        <v>154</v>
      </c>
      <c r="E6" s="14" t="s">
        <v>155</v>
      </c>
      <c r="F6" s="14" t="s">
        <v>156</v>
      </c>
      <c r="G6" s="14" t="s">
        <v>157</v>
      </c>
      <c r="H6" s="14" t="s">
        <v>158</v>
      </c>
      <c r="I6" s="14" t="s">
        <v>159</v>
      </c>
      <c r="J6" s="14" t="s">
        <v>160</v>
      </c>
      <c r="K6" s="14" t="s">
        <v>161</v>
      </c>
      <c r="L6" s="14" t="s">
        <v>111</v>
      </c>
      <c r="M6" s="14" t="s">
        <v>162</v>
      </c>
      <c r="N6" s="14" t="s">
        <v>163</v>
      </c>
      <c r="O6" s="14" t="s">
        <v>164</v>
      </c>
    </row>
    <row r="7" customFormat="false" ht="15" hidden="false" customHeight="false" outlineLevel="0" collapsed="false">
      <c r="A7" s="32" t="s">
        <v>127</v>
      </c>
      <c r="B7" s="32" t="s">
        <v>126</v>
      </c>
      <c r="C7" s="32" t="s">
        <v>165</v>
      </c>
      <c r="D7" s="31" t="n">
        <v>46027</v>
      </c>
      <c r="E7" s="32" t="s">
        <v>39</v>
      </c>
      <c r="F7" s="33" t="n">
        <v>20</v>
      </c>
      <c r="G7" s="33" t="n">
        <v>3</v>
      </c>
      <c r="H7" s="33" t="n">
        <v>70</v>
      </c>
      <c r="I7" s="31" t="n">
        <v>46034</v>
      </c>
      <c r="J7" s="33" t="n">
        <v>65</v>
      </c>
      <c r="K7" s="33" t="n">
        <v>4.5</v>
      </c>
      <c r="L7" s="39" t="str">
        <f aca="false">IF(A7="","",IF(I7&lt;&gt;"","Vendu","En stock"))</f>
        <v>Vendu</v>
      </c>
      <c r="M7" s="17" t="n">
        <f aca="false">IF(J7="","",J7-F7-G7-K7)</f>
        <v>37.5</v>
      </c>
      <c r="N7" s="40" t="n">
        <f aca="false">IF(OR(J7="",J7=0),"",M7/J7)</f>
        <v>0.576923076923077</v>
      </c>
      <c r="O7" s="41" t="n">
        <f aca="true">IF(D7="","",IF(I7&lt;&gt;"",I7,TODAY())-D7)</f>
        <v>7</v>
      </c>
    </row>
    <row r="8" customFormat="false" ht="15" hidden="false" customHeight="false" outlineLevel="0" collapsed="false">
      <c r="A8" s="32" t="s">
        <v>166</v>
      </c>
      <c r="B8" s="32" t="s">
        <v>167</v>
      </c>
      <c r="C8" s="32" t="s">
        <v>168</v>
      </c>
      <c r="D8" s="31" t="n">
        <v>46042</v>
      </c>
      <c r="E8" s="32" t="s">
        <v>169</v>
      </c>
      <c r="F8" s="33" t="n">
        <v>8</v>
      </c>
      <c r="G8" s="33" t="n">
        <v>0</v>
      </c>
      <c r="H8" s="33" t="n">
        <v>35</v>
      </c>
      <c r="I8" s="31"/>
      <c r="J8" s="33"/>
      <c r="K8" s="33"/>
      <c r="L8" s="39" t="str">
        <f aca="false">IF(A8="","",IF(I8&lt;&gt;"","Vendu","En stock"))</f>
        <v>En stock</v>
      </c>
      <c r="M8" s="17" t="str">
        <f aca="false">IF(J8="","",J8-F8-G8-K8)</f>
        <v/>
      </c>
      <c r="N8" s="40" t="str">
        <f aca="false">IF(OR(J8="",J8=0),"",M8/J8)</f>
        <v/>
      </c>
      <c r="O8" s="41" t="n">
        <f aca="true">IF(D8="","",IF(I8&lt;&gt;"",I8,TODAY())-D8)</f>
        <v>259</v>
      </c>
    </row>
    <row r="9" customFormat="false" ht="15" hidden="false" customHeight="false" outlineLevel="0" collapsed="false">
      <c r="A9" s="9"/>
      <c r="B9" s="9"/>
      <c r="C9" s="9"/>
      <c r="D9" s="34"/>
      <c r="E9" s="9"/>
      <c r="F9" s="35"/>
      <c r="G9" s="35"/>
      <c r="H9" s="35"/>
      <c r="I9" s="34"/>
      <c r="J9" s="35"/>
      <c r="K9" s="35"/>
      <c r="L9" s="39" t="str">
        <f aca="false">IF(A9="","",IF(I9&lt;&gt;"","Vendu","En stock"))</f>
        <v/>
      </c>
      <c r="M9" s="17" t="str">
        <f aca="false">IF(J9="","",J9-F9-G9-K9)</f>
        <v/>
      </c>
      <c r="N9" s="40" t="str">
        <f aca="false">IF(OR(J9="",J9=0),"",M9/J9)</f>
        <v/>
      </c>
      <c r="O9" s="41" t="str">
        <f aca="true">IF(D9="","",IF(I9&lt;&gt;"",I9,TODAY())-D9)</f>
        <v/>
      </c>
    </row>
    <row r="10" customFormat="false" ht="15" hidden="false" customHeight="false" outlineLevel="0" collapsed="false">
      <c r="A10" s="9"/>
      <c r="B10" s="9"/>
      <c r="C10" s="9"/>
      <c r="D10" s="34"/>
      <c r="E10" s="9"/>
      <c r="F10" s="35"/>
      <c r="G10" s="35"/>
      <c r="H10" s="35"/>
      <c r="I10" s="34"/>
      <c r="J10" s="35"/>
      <c r="K10" s="35"/>
      <c r="L10" s="39" t="str">
        <f aca="false">IF(A10="","",IF(I10&lt;&gt;"","Vendu","En stock"))</f>
        <v/>
      </c>
      <c r="M10" s="17" t="str">
        <f aca="false">IF(J10="","",J10-F10-G10-K10)</f>
        <v/>
      </c>
      <c r="N10" s="40" t="str">
        <f aca="false">IF(OR(J10="",J10=0),"",M10/J10)</f>
        <v/>
      </c>
      <c r="O10" s="41" t="str">
        <f aca="true">IF(D10="","",IF(I10&lt;&gt;"",I10,TODAY())-D10)</f>
        <v/>
      </c>
    </row>
    <row r="11" customFormat="false" ht="15" hidden="false" customHeight="false" outlineLevel="0" collapsed="false">
      <c r="A11" s="9"/>
      <c r="B11" s="9"/>
      <c r="C11" s="9"/>
      <c r="D11" s="34"/>
      <c r="E11" s="9"/>
      <c r="F11" s="35"/>
      <c r="G11" s="35"/>
      <c r="H11" s="35"/>
      <c r="I11" s="34"/>
      <c r="J11" s="35"/>
      <c r="K11" s="35"/>
      <c r="L11" s="39" t="str">
        <f aca="false">IF(A11="","",IF(I11&lt;&gt;"","Vendu","En stock"))</f>
        <v/>
      </c>
      <c r="M11" s="17" t="str">
        <f aca="false">IF(J11="","",J11-F11-G11-K11)</f>
        <v/>
      </c>
      <c r="N11" s="40" t="str">
        <f aca="false">IF(OR(J11="",J11=0),"",M11/J11)</f>
        <v/>
      </c>
      <c r="O11" s="41" t="str">
        <f aca="true">IF(D11="","",IF(I11&lt;&gt;"",I11,TODAY())-D11)</f>
        <v/>
      </c>
    </row>
    <row r="12" customFormat="false" ht="15" hidden="false" customHeight="false" outlineLevel="0" collapsed="false">
      <c r="A12" s="9"/>
      <c r="B12" s="9"/>
      <c r="C12" s="9"/>
      <c r="D12" s="34"/>
      <c r="E12" s="9"/>
      <c r="F12" s="35"/>
      <c r="G12" s="35"/>
      <c r="H12" s="35"/>
      <c r="I12" s="34"/>
      <c r="J12" s="35"/>
      <c r="K12" s="35"/>
      <c r="L12" s="39" t="str">
        <f aca="false">IF(A12="","",IF(I12&lt;&gt;"","Vendu","En stock"))</f>
        <v/>
      </c>
      <c r="M12" s="17" t="str">
        <f aca="false">IF(J12="","",J12-F12-G12-K12)</f>
        <v/>
      </c>
      <c r="N12" s="40" t="str">
        <f aca="false">IF(OR(J12="",J12=0),"",M12/J12)</f>
        <v/>
      </c>
      <c r="O12" s="41" t="str">
        <f aca="true">IF(D12="","",IF(I12&lt;&gt;"",I12,TODAY())-D12)</f>
        <v/>
      </c>
    </row>
    <row r="13" customFormat="false" ht="15" hidden="false" customHeight="false" outlineLevel="0" collapsed="false">
      <c r="A13" s="9"/>
      <c r="B13" s="9"/>
      <c r="C13" s="9"/>
      <c r="D13" s="34"/>
      <c r="E13" s="9"/>
      <c r="F13" s="35"/>
      <c r="G13" s="35"/>
      <c r="H13" s="35"/>
      <c r="I13" s="34"/>
      <c r="J13" s="35"/>
      <c r="K13" s="35"/>
      <c r="L13" s="39" t="str">
        <f aca="false">IF(A13="","",IF(I13&lt;&gt;"","Vendu","En stock"))</f>
        <v/>
      </c>
      <c r="M13" s="17" t="str">
        <f aca="false">IF(J13="","",J13-F13-G13-K13)</f>
        <v/>
      </c>
      <c r="N13" s="40" t="str">
        <f aca="false">IF(OR(J13="",J13=0),"",M13/J13)</f>
        <v/>
      </c>
      <c r="O13" s="41" t="str">
        <f aca="true">IF(D13="","",IF(I13&lt;&gt;"",I13,TODAY())-D13)</f>
        <v/>
      </c>
    </row>
    <row r="14" customFormat="false" ht="15" hidden="false" customHeight="false" outlineLevel="0" collapsed="false">
      <c r="A14" s="9"/>
      <c r="B14" s="9"/>
      <c r="C14" s="9"/>
      <c r="D14" s="34"/>
      <c r="E14" s="9"/>
      <c r="F14" s="35"/>
      <c r="G14" s="35"/>
      <c r="H14" s="35"/>
      <c r="I14" s="34"/>
      <c r="J14" s="35"/>
      <c r="K14" s="35"/>
      <c r="L14" s="39" t="str">
        <f aca="false">IF(A14="","",IF(I14&lt;&gt;"","Vendu","En stock"))</f>
        <v/>
      </c>
      <c r="M14" s="17" t="str">
        <f aca="false">IF(J14="","",J14-F14-G14-K14)</f>
        <v/>
      </c>
      <c r="N14" s="40" t="str">
        <f aca="false">IF(OR(J14="",J14=0),"",M14/J14)</f>
        <v/>
      </c>
      <c r="O14" s="41" t="str">
        <f aca="true">IF(D14="","",IF(I14&lt;&gt;"",I14,TODAY())-D14)</f>
        <v/>
      </c>
    </row>
    <row r="15" customFormat="false" ht="15" hidden="false" customHeight="false" outlineLevel="0" collapsed="false">
      <c r="A15" s="9"/>
      <c r="B15" s="9"/>
      <c r="C15" s="9"/>
      <c r="D15" s="34"/>
      <c r="E15" s="9"/>
      <c r="F15" s="35"/>
      <c r="G15" s="35"/>
      <c r="H15" s="35"/>
      <c r="I15" s="34"/>
      <c r="J15" s="35"/>
      <c r="K15" s="35"/>
      <c r="L15" s="39" t="str">
        <f aca="false">IF(A15="","",IF(I15&lt;&gt;"","Vendu","En stock"))</f>
        <v/>
      </c>
      <c r="M15" s="17" t="str">
        <f aca="false">IF(J15="","",J15-F15-G15-K15)</f>
        <v/>
      </c>
      <c r="N15" s="40" t="str">
        <f aca="false">IF(OR(J15="",J15=0),"",M15/J15)</f>
        <v/>
      </c>
      <c r="O15" s="41" t="str">
        <f aca="true">IF(D15="","",IF(I15&lt;&gt;"",I15,TODAY())-D15)</f>
        <v/>
      </c>
    </row>
    <row r="16" customFormat="false" ht="15" hidden="false" customHeight="false" outlineLevel="0" collapsed="false">
      <c r="A16" s="9"/>
      <c r="B16" s="9"/>
      <c r="C16" s="9"/>
      <c r="D16" s="34"/>
      <c r="E16" s="9"/>
      <c r="F16" s="35"/>
      <c r="G16" s="35"/>
      <c r="H16" s="35"/>
      <c r="I16" s="34"/>
      <c r="J16" s="35"/>
      <c r="K16" s="35"/>
      <c r="L16" s="39" t="str">
        <f aca="false">IF(A16="","",IF(I16&lt;&gt;"","Vendu","En stock"))</f>
        <v/>
      </c>
      <c r="M16" s="17" t="str">
        <f aca="false">IF(J16="","",J16-F16-G16-K16)</f>
        <v/>
      </c>
      <c r="N16" s="40" t="str">
        <f aca="false">IF(OR(J16="",J16=0),"",M16/J16)</f>
        <v/>
      </c>
      <c r="O16" s="41" t="str">
        <f aca="true">IF(D16="","",IF(I16&lt;&gt;"",I16,TODAY())-D16)</f>
        <v/>
      </c>
    </row>
    <row r="17" customFormat="false" ht="15" hidden="false" customHeight="false" outlineLevel="0" collapsed="false">
      <c r="A17" s="9"/>
      <c r="B17" s="9"/>
      <c r="C17" s="9"/>
      <c r="D17" s="34"/>
      <c r="E17" s="9"/>
      <c r="F17" s="35"/>
      <c r="G17" s="35"/>
      <c r="H17" s="35"/>
      <c r="I17" s="34"/>
      <c r="J17" s="35"/>
      <c r="K17" s="35"/>
      <c r="L17" s="39" t="str">
        <f aca="false">IF(A17="","",IF(I17&lt;&gt;"","Vendu","En stock"))</f>
        <v/>
      </c>
      <c r="M17" s="17" t="str">
        <f aca="false">IF(J17="","",J17-F17-G17-K17)</f>
        <v/>
      </c>
      <c r="N17" s="40" t="str">
        <f aca="false">IF(OR(J17="",J17=0),"",M17/J17)</f>
        <v/>
      </c>
      <c r="O17" s="41" t="str">
        <f aca="true">IF(D17="","",IF(I17&lt;&gt;"",I17,TODAY())-D17)</f>
        <v/>
      </c>
    </row>
    <row r="18" customFormat="false" ht="15" hidden="false" customHeight="false" outlineLevel="0" collapsed="false">
      <c r="A18" s="9"/>
      <c r="B18" s="9"/>
      <c r="C18" s="9"/>
      <c r="D18" s="34"/>
      <c r="E18" s="9"/>
      <c r="F18" s="35"/>
      <c r="G18" s="35"/>
      <c r="H18" s="35"/>
      <c r="I18" s="34"/>
      <c r="J18" s="35"/>
      <c r="K18" s="35"/>
      <c r="L18" s="39" t="str">
        <f aca="false">IF(A18="","",IF(I18&lt;&gt;"","Vendu","En stock"))</f>
        <v/>
      </c>
      <c r="M18" s="17" t="str">
        <f aca="false">IF(J18="","",J18-F18-G18-K18)</f>
        <v/>
      </c>
      <c r="N18" s="40" t="str">
        <f aca="false">IF(OR(J18="",J18=0),"",M18/J18)</f>
        <v/>
      </c>
      <c r="O18" s="41" t="str">
        <f aca="true">IF(D18="","",IF(I18&lt;&gt;"",I18,TODAY())-D18)</f>
        <v/>
      </c>
    </row>
    <row r="19" customFormat="false" ht="15" hidden="false" customHeight="false" outlineLevel="0" collapsed="false">
      <c r="A19" s="9"/>
      <c r="B19" s="9"/>
      <c r="C19" s="9"/>
      <c r="D19" s="34"/>
      <c r="E19" s="9"/>
      <c r="F19" s="35"/>
      <c r="G19" s="35"/>
      <c r="H19" s="35"/>
      <c r="I19" s="34"/>
      <c r="J19" s="35"/>
      <c r="K19" s="35"/>
      <c r="L19" s="39" t="str">
        <f aca="false">IF(A19="","",IF(I19&lt;&gt;"","Vendu","En stock"))</f>
        <v/>
      </c>
      <c r="M19" s="17" t="str">
        <f aca="false">IF(J19="","",J19-F19-G19-K19)</f>
        <v/>
      </c>
      <c r="N19" s="40" t="str">
        <f aca="false">IF(OR(J19="",J19=0),"",M19/J19)</f>
        <v/>
      </c>
      <c r="O19" s="41" t="str">
        <f aca="true">IF(D19="","",IF(I19&lt;&gt;"",I19,TODAY())-D19)</f>
        <v/>
      </c>
    </row>
    <row r="20" customFormat="false" ht="15" hidden="false" customHeight="false" outlineLevel="0" collapsed="false">
      <c r="A20" s="9"/>
      <c r="B20" s="9"/>
      <c r="C20" s="9"/>
      <c r="D20" s="34"/>
      <c r="E20" s="9"/>
      <c r="F20" s="35"/>
      <c r="G20" s="35"/>
      <c r="H20" s="35"/>
      <c r="I20" s="34"/>
      <c r="J20" s="35"/>
      <c r="K20" s="35"/>
      <c r="L20" s="39" t="str">
        <f aca="false">IF(A20="","",IF(I20&lt;&gt;"","Vendu","En stock"))</f>
        <v/>
      </c>
      <c r="M20" s="17" t="str">
        <f aca="false">IF(J20="","",J20-F20-G20-K20)</f>
        <v/>
      </c>
      <c r="N20" s="40" t="str">
        <f aca="false">IF(OR(J20="",J20=0),"",M20/J20)</f>
        <v/>
      </c>
      <c r="O20" s="41" t="str">
        <f aca="true">IF(D20="","",IF(I20&lt;&gt;"",I20,TODAY())-D20)</f>
        <v/>
      </c>
    </row>
    <row r="21" customFormat="false" ht="15" hidden="false" customHeight="false" outlineLevel="0" collapsed="false">
      <c r="A21" s="9"/>
      <c r="B21" s="9"/>
      <c r="C21" s="9"/>
      <c r="D21" s="34"/>
      <c r="E21" s="9"/>
      <c r="F21" s="35"/>
      <c r="G21" s="35"/>
      <c r="H21" s="35"/>
      <c r="I21" s="34"/>
      <c r="J21" s="35"/>
      <c r="K21" s="35"/>
      <c r="L21" s="39" t="str">
        <f aca="false">IF(A21="","",IF(I21&lt;&gt;"","Vendu","En stock"))</f>
        <v/>
      </c>
      <c r="M21" s="17" t="str">
        <f aca="false">IF(J21="","",J21-F21-G21-K21)</f>
        <v/>
      </c>
      <c r="N21" s="40" t="str">
        <f aca="false">IF(OR(J21="",J21=0),"",M21/J21)</f>
        <v/>
      </c>
      <c r="O21" s="41" t="str">
        <f aca="true">IF(D21="","",IF(I21&lt;&gt;"",I21,TODAY())-D21)</f>
        <v/>
      </c>
    </row>
    <row r="22" customFormat="false" ht="15" hidden="false" customHeight="false" outlineLevel="0" collapsed="false">
      <c r="A22" s="9"/>
      <c r="B22" s="9"/>
      <c r="C22" s="9"/>
      <c r="D22" s="34"/>
      <c r="E22" s="9"/>
      <c r="F22" s="35"/>
      <c r="G22" s="35"/>
      <c r="H22" s="35"/>
      <c r="I22" s="34"/>
      <c r="J22" s="35"/>
      <c r="K22" s="35"/>
      <c r="L22" s="39" t="str">
        <f aca="false">IF(A22="","",IF(I22&lt;&gt;"","Vendu","En stock"))</f>
        <v/>
      </c>
      <c r="M22" s="17" t="str">
        <f aca="false">IF(J22="","",J22-F22-G22-K22)</f>
        <v/>
      </c>
      <c r="N22" s="40" t="str">
        <f aca="false">IF(OR(J22="",J22=0),"",M22/J22)</f>
        <v/>
      </c>
      <c r="O22" s="41" t="str">
        <f aca="true">IF(D22="","",IF(I22&lt;&gt;"",I22,TODAY())-D22)</f>
        <v/>
      </c>
    </row>
    <row r="23" customFormat="false" ht="15" hidden="false" customHeight="false" outlineLevel="0" collapsed="false">
      <c r="A23" s="9"/>
      <c r="B23" s="9"/>
      <c r="C23" s="9"/>
      <c r="D23" s="34"/>
      <c r="E23" s="9"/>
      <c r="F23" s="35"/>
      <c r="G23" s="35"/>
      <c r="H23" s="35"/>
      <c r="I23" s="34"/>
      <c r="J23" s="35"/>
      <c r="K23" s="35"/>
      <c r="L23" s="39" t="str">
        <f aca="false">IF(A23="","",IF(I23&lt;&gt;"","Vendu","En stock"))</f>
        <v/>
      </c>
      <c r="M23" s="17" t="str">
        <f aca="false">IF(J23="","",J23-F23-G23-K23)</f>
        <v/>
      </c>
      <c r="N23" s="40" t="str">
        <f aca="false">IF(OR(J23="",J23=0),"",M23/J23)</f>
        <v/>
      </c>
      <c r="O23" s="41" t="str">
        <f aca="true">IF(D23="","",IF(I23&lt;&gt;"",I23,TODAY())-D23)</f>
        <v/>
      </c>
    </row>
    <row r="24" customFormat="false" ht="15" hidden="false" customHeight="false" outlineLevel="0" collapsed="false">
      <c r="A24" s="9"/>
      <c r="B24" s="9"/>
      <c r="C24" s="9"/>
      <c r="D24" s="34"/>
      <c r="E24" s="9"/>
      <c r="F24" s="35"/>
      <c r="G24" s="35"/>
      <c r="H24" s="35"/>
      <c r="I24" s="34"/>
      <c r="J24" s="35"/>
      <c r="K24" s="35"/>
      <c r="L24" s="39" t="str">
        <f aca="false">IF(A24="","",IF(I24&lt;&gt;"","Vendu","En stock"))</f>
        <v/>
      </c>
      <c r="M24" s="17" t="str">
        <f aca="false">IF(J24="","",J24-F24-G24-K24)</f>
        <v/>
      </c>
      <c r="N24" s="40" t="str">
        <f aca="false">IF(OR(J24="",J24=0),"",M24/J24)</f>
        <v/>
      </c>
      <c r="O24" s="41" t="str">
        <f aca="true">IF(D24="","",IF(I24&lt;&gt;"",I24,TODAY())-D24)</f>
        <v/>
      </c>
    </row>
    <row r="25" customFormat="false" ht="15" hidden="false" customHeight="false" outlineLevel="0" collapsed="false">
      <c r="A25" s="9"/>
      <c r="B25" s="9"/>
      <c r="C25" s="9"/>
      <c r="D25" s="34"/>
      <c r="E25" s="9"/>
      <c r="F25" s="35"/>
      <c r="G25" s="35"/>
      <c r="H25" s="35"/>
      <c r="I25" s="34"/>
      <c r="J25" s="35"/>
      <c r="K25" s="35"/>
      <c r="L25" s="39" t="str">
        <f aca="false">IF(A25="","",IF(I25&lt;&gt;"","Vendu","En stock"))</f>
        <v/>
      </c>
      <c r="M25" s="17" t="str">
        <f aca="false">IF(J25="","",J25-F25-G25-K25)</f>
        <v/>
      </c>
      <c r="N25" s="40" t="str">
        <f aca="false">IF(OR(J25="",J25=0),"",M25/J25)</f>
        <v/>
      </c>
      <c r="O25" s="41" t="str">
        <f aca="true">IF(D25="","",IF(I25&lt;&gt;"",I25,TODAY())-D25)</f>
        <v/>
      </c>
    </row>
    <row r="26" customFormat="false" ht="15" hidden="false" customHeight="false" outlineLevel="0" collapsed="false">
      <c r="A26" s="9"/>
      <c r="B26" s="9"/>
      <c r="C26" s="9"/>
      <c r="D26" s="34"/>
      <c r="E26" s="9"/>
      <c r="F26" s="35"/>
      <c r="G26" s="35"/>
      <c r="H26" s="35"/>
      <c r="I26" s="34"/>
      <c r="J26" s="35"/>
      <c r="K26" s="35"/>
      <c r="L26" s="39" t="str">
        <f aca="false">IF(A26="","",IF(I26&lt;&gt;"","Vendu","En stock"))</f>
        <v/>
      </c>
      <c r="M26" s="17" t="str">
        <f aca="false">IF(J26="","",J26-F26-G26-K26)</f>
        <v/>
      </c>
      <c r="N26" s="40" t="str">
        <f aca="false">IF(OR(J26="",J26=0),"",M26/J26)</f>
        <v/>
      </c>
      <c r="O26" s="41" t="str">
        <f aca="true">IF(D26="","",IF(I26&lt;&gt;"",I26,TODAY())-D26)</f>
        <v/>
      </c>
    </row>
    <row r="27" customFormat="false" ht="15" hidden="false" customHeight="false" outlineLevel="0" collapsed="false">
      <c r="A27" s="9"/>
      <c r="B27" s="9"/>
      <c r="C27" s="9"/>
      <c r="D27" s="34"/>
      <c r="E27" s="9"/>
      <c r="F27" s="35"/>
      <c r="G27" s="35"/>
      <c r="H27" s="35"/>
      <c r="I27" s="34"/>
      <c r="J27" s="35"/>
      <c r="K27" s="35"/>
      <c r="L27" s="39" t="str">
        <f aca="false">IF(A27="","",IF(I27&lt;&gt;"","Vendu","En stock"))</f>
        <v/>
      </c>
      <c r="M27" s="17" t="str">
        <f aca="false">IF(J27="","",J27-F27-G27-K27)</f>
        <v/>
      </c>
      <c r="N27" s="40" t="str">
        <f aca="false">IF(OR(J27="",J27=0),"",M27/J27)</f>
        <v/>
      </c>
      <c r="O27" s="41" t="str">
        <f aca="true">IF(D27="","",IF(I27&lt;&gt;"",I27,TODAY())-D27)</f>
        <v/>
      </c>
    </row>
    <row r="28" customFormat="false" ht="15" hidden="false" customHeight="false" outlineLevel="0" collapsed="false">
      <c r="A28" s="9"/>
      <c r="B28" s="9"/>
      <c r="C28" s="9"/>
      <c r="D28" s="34"/>
      <c r="E28" s="9"/>
      <c r="F28" s="35"/>
      <c r="G28" s="35"/>
      <c r="H28" s="35"/>
      <c r="I28" s="34"/>
      <c r="J28" s="35"/>
      <c r="K28" s="35"/>
      <c r="L28" s="39" t="str">
        <f aca="false">IF(A28="","",IF(I28&lt;&gt;"","Vendu","En stock"))</f>
        <v/>
      </c>
      <c r="M28" s="17" t="str">
        <f aca="false">IF(J28="","",J28-F28-G28-K28)</f>
        <v/>
      </c>
      <c r="N28" s="40" t="str">
        <f aca="false">IF(OR(J28="",J28=0),"",M28/J28)</f>
        <v/>
      </c>
      <c r="O28" s="41" t="str">
        <f aca="true">IF(D28="","",IF(I28&lt;&gt;"",I28,TODAY())-D28)</f>
        <v/>
      </c>
    </row>
    <row r="29" customFormat="false" ht="15" hidden="false" customHeight="false" outlineLevel="0" collapsed="false">
      <c r="A29" s="9"/>
      <c r="B29" s="9"/>
      <c r="C29" s="9"/>
      <c r="D29" s="34"/>
      <c r="E29" s="9"/>
      <c r="F29" s="35"/>
      <c r="G29" s="35"/>
      <c r="H29" s="35"/>
      <c r="I29" s="34"/>
      <c r="J29" s="35"/>
      <c r="K29" s="35"/>
      <c r="L29" s="39" t="str">
        <f aca="false">IF(A29="","",IF(I29&lt;&gt;"","Vendu","En stock"))</f>
        <v/>
      </c>
      <c r="M29" s="17" t="str">
        <f aca="false">IF(J29="","",J29-F29-G29-K29)</f>
        <v/>
      </c>
      <c r="N29" s="40" t="str">
        <f aca="false">IF(OR(J29="",J29=0),"",M29/J29)</f>
        <v/>
      </c>
      <c r="O29" s="41" t="str">
        <f aca="true">IF(D29="","",IF(I29&lt;&gt;"",I29,TODAY())-D29)</f>
        <v/>
      </c>
    </row>
    <row r="30" customFormat="false" ht="15" hidden="false" customHeight="false" outlineLevel="0" collapsed="false">
      <c r="A30" s="9"/>
      <c r="B30" s="9"/>
      <c r="C30" s="9"/>
      <c r="D30" s="34"/>
      <c r="E30" s="9"/>
      <c r="F30" s="35"/>
      <c r="G30" s="35"/>
      <c r="H30" s="35"/>
      <c r="I30" s="34"/>
      <c r="J30" s="35"/>
      <c r="K30" s="35"/>
      <c r="L30" s="39" t="str">
        <f aca="false">IF(A30="","",IF(I30&lt;&gt;"","Vendu","En stock"))</f>
        <v/>
      </c>
      <c r="M30" s="17" t="str">
        <f aca="false">IF(J30="","",J30-F30-G30-K30)</f>
        <v/>
      </c>
      <c r="N30" s="40" t="str">
        <f aca="false">IF(OR(J30="",J30=0),"",M30/J30)</f>
        <v/>
      </c>
      <c r="O30" s="41" t="str">
        <f aca="true">IF(D30="","",IF(I30&lt;&gt;"",I30,TODAY())-D30)</f>
        <v/>
      </c>
    </row>
    <row r="31" customFormat="false" ht="15" hidden="false" customHeight="false" outlineLevel="0" collapsed="false">
      <c r="A31" s="9"/>
      <c r="B31" s="9"/>
      <c r="C31" s="9"/>
      <c r="D31" s="34"/>
      <c r="E31" s="9"/>
      <c r="F31" s="35"/>
      <c r="G31" s="35"/>
      <c r="H31" s="35"/>
      <c r="I31" s="34"/>
      <c r="J31" s="35"/>
      <c r="K31" s="35"/>
      <c r="L31" s="39" t="str">
        <f aca="false">IF(A31="","",IF(I31&lt;&gt;"","Vendu","En stock"))</f>
        <v/>
      </c>
      <c r="M31" s="17" t="str">
        <f aca="false">IF(J31="","",J31-F31-G31-K31)</f>
        <v/>
      </c>
      <c r="N31" s="40" t="str">
        <f aca="false">IF(OR(J31="",J31=0),"",M31/J31)</f>
        <v/>
      </c>
      <c r="O31" s="41" t="str">
        <f aca="true">IF(D31="","",IF(I31&lt;&gt;"",I31,TODAY())-D31)</f>
        <v/>
      </c>
    </row>
    <row r="32" customFormat="false" ht="15" hidden="false" customHeight="false" outlineLevel="0" collapsed="false">
      <c r="A32" s="9"/>
      <c r="B32" s="9"/>
      <c r="C32" s="9"/>
      <c r="D32" s="34"/>
      <c r="E32" s="9"/>
      <c r="F32" s="35"/>
      <c r="G32" s="35"/>
      <c r="H32" s="35"/>
      <c r="I32" s="34"/>
      <c r="J32" s="35"/>
      <c r="K32" s="35"/>
      <c r="L32" s="39" t="str">
        <f aca="false">IF(A32="","",IF(I32&lt;&gt;"","Vendu","En stock"))</f>
        <v/>
      </c>
      <c r="M32" s="17" t="str">
        <f aca="false">IF(J32="","",J32-F32-G32-K32)</f>
        <v/>
      </c>
      <c r="N32" s="40" t="str">
        <f aca="false">IF(OR(J32="",J32=0),"",M32/J32)</f>
        <v/>
      </c>
      <c r="O32" s="41" t="str">
        <f aca="true">IF(D32="","",IF(I32&lt;&gt;"",I32,TODAY())-D32)</f>
        <v/>
      </c>
    </row>
    <row r="33" customFormat="false" ht="15" hidden="false" customHeight="false" outlineLevel="0" collapsed="false">
      <c r="A33" s="9"/>
      <c r="B33" s="9"/>
      <c r="C33" s="9"/>
      <c r="D33" s="34"/>
      <c r="E33" s="9"/>
      <c r="F33" s="35"/>
      <c r="G33" s="35"/>
      <c r="H33" s="35"/>
      <c r="I33" s="34"/>
      <c r="J33" s="35"/>
      <c r="K33" s="35"/>
      <c r="L33" s="39" t="str">
        <f aca="false">IF(A33="","",IF(I33&lt;&gt;"","Vendu","En stock"))</f>
        <v/>
      </c>
      <c r="M33" s="17" t="str">
        <f aca="false">IF(J33="","",J33-F33-G33-K33)</f>
        <v/>
      </c>
      <c r="N33" s="40" t="str">
        <f aca="false">IF(OR(J33="",J33=0),"",M33/J33)</f>
        <v/>
      </c>
      <c r="O33" s="41" t="str">
        <f aca="true">IF(D33="","",IF(I33&lt;&gt;"",I33,TODAY())-D33)</f>
        <v/>
      </c>
    </row>
    <row r="34" customFormat="false" ht="15" hidden="false" customHeight="false" outlineLevel="0" collapsed="false">
      <c r="A34" s="9"/>
      <c r="B34" s="9"/>
      <c r="C34" s="9"/>
      <c r="D34" s="34"/>
      <c r="E34" s="9"/>
      <c r="F34" s="35"/>
      <c r="G34" s="35"/>
      <c r="H34" s="35"/>
      <c r="I34" s="34"/>
      <c r="J34" s="35"/>
      <c r="K34" s="35"/>
      <c r="L34" s="39" t="str">
        <f aca="false">IF(A34="","",IF(I34&lt;&gt;"","Vendu","En stock"))</f>
        <v/>
      </c>
      <c r="M34" s="17" t="str">
        <f aca="false">IF(J34="","",J34-F34-G34-K34)</f>
        <v/>
      </c>
      <c r="N34" s="40" t="str">
        <f aca="false">IF(OR(J34="",J34=0),"",M34/J34)</f>
        <v/>
      </c>
      <c r="O34" s="41" t="str">
        <f aca="true">IF(D34="","",IF(I34&lt;&gt;"",I34,TODAY())-D34)</f>
        <v/>
      </c>
    </row>
    <row r="35" customFormat="false" ht="15" hidden="false" customHeight="false" outlineLevel="0" collapsed="false">
      <c r="A35" s="9"/>
      <c r="B35" s="9"/>
      <c r="C35" s="9"/>
      <c r="D35" s="34"/>
      <c r="E35" s="9"/>
      <c r="F35" s="35"/>
      <c r="G35" s="35"/>
      <c r="H35" s="35"/>
      <c r="I35" s="34"/>
      <c r="J35" s="35"/>
      <c r="K35" s="35"/>
      <c r="L35" s="39" t="str">
        <f aca="false">IF(A35="","",IF(I35&lt;&gt;"","Vendu","En stock"))</f>
        <v/>
      </c>
      <c r="M35" s="17" t="str">
        <f aca="false">IF(J35="","",J35-F35-G35-K35)</f>
        <v/>
      </c>
      <c r="N35" s="40" t="str">
        <f aca="false">IF(OR(J35="",J35=0),"",M35/J35)</f>
        <v/>
      </c>
      <c r="O35" s="41" t="str">
        <f aca="true">IF(D35="","",IF(I35&lt;&gt;"",I35,TODAY())-D35)</f>
        <v/>
      </c>
    </row>
    <row r="36" customFormat="false" ht="15" hidden="false" customHeight="false" outlineLevel="0" collapsed="false">
      <c r="A36" s="9"/>
      <c r="B36" s="9"/>
      <c r="C36" s="9"/>
      <c r="D36" s="34"/>
      <c r="E36" s="9"/>
      <c r="F36" s="35"/>
      <c r="G36" s="35"/>
      <c r="H36" s="35"/>
      <c r="I36" s="34"/>
      <c r="J36" s="35"/>
      <c r="K36" s="35"/>
      <c r="L36" s="39" t="str">
        <f aca="false">IF(A36="","",IF(I36&lt;&gt;"","Vendu","En stock"))</f>
        <v/>
      </c>
      <c r="M36" s="17" t="str">
        <f aca="false">IF(J36="","",J36-F36-G36-K36)</f>
        <v/>
      </c>
      <c r="N36" s="40" t="str">
        <f aca="false">IF(OR(J36="",J36=0),"",M36/J36)</f>
        <v/>
      </c>
      <c r="O36" s="41" t="str">
        <f aca="true">IF(D36="","",IF(I36&lt;&gt;"",I36,TODAY())-D36)</f>
        <v/>
      </c>
    </row>
    <row r="37" customFormat="false" ht="15" hidden="false" customHeight="false" outlineLevel="0" collapsed="false">
      <c r="A37" s="9"/>
      <c r="B37" s="9"/>
      <c r="C37" s="9"/>
      <c r="D37" s="34"/>
      <c r="E37" s="9"/>
      <c r="F37" s="35"/>
      <c r="G37" s="35"/>
      <c r="H37" s="35"/>
      <c r="I37" s="34"/>
      <c r="J37" s="35"/>
      <c r="K37" s="35"/>
      <c r="L37" s="39" t="str">
        <f aca="false">IF(A37="","",IF(I37&lt;&gt;"","Vendu","En stock"))</f>
        <v/>
      </c>
      <c r="M37" s="17" t="str">
        <f aca="false">IF(J37="","",J37-F37-G37-K37)</f>
        <v/>
      </c>
      <c r="N37" s="40" t="str">
        <f aca="false">IF(OR(J37="",J37=0),"",M37/J37)</f>
        <v/>
      </c>
      <c r="O37" s="41" t="str">
        <f aca="true">IF(D37="","",IF(I37&lt;&gt;"",I37,TODAY())-D37)</f>
        <v/>
      </c>
    </row>
    <row r="38" customFormat="false" ht="15" hidden="false" customHeight="false" outlineLevel="0" collapsed="false">
      <c r="A38" s="9"/>
      <c r="B38" s="9"/>
      <c r="C38" s="9"/>
      <c r="D38" s="34"/>
      <c r="E38" s="9"/>
      <c r="F38" s="35"/>
      <c r="G38" s="35"/>
      <c r="H38" s="35"/>
      <c r="I38" s="34"/>
      <c r="J38" s="35"/>
      <c r="K38" s="35"/>
      <c r="L38" s="39" t="str">
        <f aca="false">IF(A38="","",IF(I38&lt;&gt;"","Vendu","En stock"))</f>
        <v/>
      </c>
      <c r="M38" s="17" t="str">
        <f aca="false">IF(J38="","",J38-F38-G38-K38)</f>
        <v/>
      </c>
      <c r="N38" s="40" t="str">
        <f aca="false">IF(OR(J38="",J38=0),"",M38/J38)</f>
        <v/>
      </c>
      <c r="O38" s="41" t="str">
        <f aca="true">IF(D38="","",IF(I38&lt;&gt;"",I38,TODAY())-D38)</f>
        <v/>
      </c>
    </row>
    <row r="39" customFormat="false" ht="15" hidden="false" customHeight="false" outlineLevel="0" collapsed="false">
      <c r="A39" s="9"/>
      <c r="B39" s="9"/>
      <c r="C39" s="9"/>
      <c r="D39" s="34"/>
      <c r="E39" s="9"/>
      <c r="F39" s="35"/>
      <c r="G39" s="35"/>
      <c r="H39" s="35"/>
      <c r="I39" s="34"/>
      <c r="J39" s="35"/>
      <c r="K39" s="35"/>
      <c r="L39" s="39" t="str">
        <f aca="false">IF(A39="","",IF(I39&lt;&gt;"","Vendu","En stock"))</f>
        <v/>
      </c>
      <c r="M39" s="17" t="str">
        <f aca="false">IF(J39="","",J39-F39-G39-K39)</f>
        <v/>
      </c>
      <c r="N39" s="40" t="str">
        <f aca="false">IF(OR(J39="",J39=0),"",M39/J39)</f>
        <v/>
      </c>
      <c r="O39" s="41" t="str">
        <f aca="true">IF(D39="","",IF(I39&lt;&gt;"",I39,TODAY())-D39)</f>
        <v/>
      </c>
    </row>
    <row r="40" customFormat="false" ht="15" hidden="false" customHeight="false" outlineLevel="0" collapsed="false">
      <c r="A40" s="9"/>
      <c r="B40" s="9"/>
      <c r="C40" s="9"/>
      <c r="D40" s="34"/>
      <c r="E40" s="9"/>
      <c r="F40" s="35"/>
      <c r="G40" s="35"/>
      <c r="H40" s="35"/>
      <c r="I40" s="34"/>
      <c r="J40" s="35"/>
      <c r="K40" s="35"/>
      <c r="L40" s="39" t="str">
        <f aca="false">IF(A40="","",IF(I40&lt;&gt;"","Vendu","En stock"))</f>
        <v/>
      </c>
      <c r="M40" s="17" t="str">
        <f aca="false">IF(J40="","",J40-F40-G40-K40)</f>
        <v/>
      </c>
      <c r="N40" s="40" t="str">
        <f aca="false">IF(OR(J40="",J40=0),"",M40/J40)</f>
        <v/>
      </c>
      <c r="O40" s="41" t="str">
        <f aca="true">IF(D40="","",IF(I40&lt;&gt;"",I40,TODAY())-D40)</f>
        <v/>
      </c>
    </row>
    <row r="41" customFormat="false" ht="15" hidden="false" customHeight="false" outlineLevel="0" collapsed="false">
      <c r="A41" s="9"/>
      <c r="B41" s="9"/>
      <c r="C41" s="9"/>
      <c r="D41" s="34"/>
      <c r="E41" s="9"/>
      <c r="F41" s="35"/>
      <c r="G41" s="35"/>
      <c r="H41" s="35"/>
      <c r="I41" s="34"/>
      <c r="J41" s="35"/>
      <c r="K41" s="35"/>
      <c r="L41" s="39" t="str">
        <f aca="false">IF(A41="","",IF(I41&lt;&gt;"","Vendu","En stock"))</f>
        <v/>
      </c>
      <c r="M41" s="17" t="str">
        <f aca="false">IF(J41="","",J41-F41-G41-K41)</f>
        <v/>
      </c>
      <c r="N41" s="40" t="str">
        <f aca="false">IF(OR(J41="",J41=0),"",M41/J41)</f>
        <v/>
      </c>
      <c r="O41" s="41" t="str">
        <f aca="true">IF(D41="","",IF(I41&lt;&gt;"",I41,TODAY())-D41)</f>
        <v/>
      </c>
    </row>
    <row r="42" customFormat="false" ht="15" hidden="false" customHeight="false" outlineLevel="0" collapsed="false">
      <c r="A42" s="9"/>
      <c r="B42" s="9"/>
      <c r="C42" s="9"/>
      <c r="D42" s="34"/>
      <c r="E42" s="9"/>
      <c r="F42" s="35"/>
      <c r="G42" s="35"/>
      <c r="H42" s="35"/>
      <c r="I42" s="34"/>
      <c r="J42" s="35"/>
      <c r="K42" s="35"/>
      <c r="L42" s="39" t="str">
        <f aca="false">IF(A42="","",IF(I42&lt;&gt;"","Vendu","En stock"))</f>
        <v/>
      </c>
      <c r="M42" s="17" t="str">
        <f aca="false">IF(J42="","",J42-F42-G42-K42)</f>
        <v/>
      </c>
      <c r="N42" s="40" t="str">
        <f aca="false">IF(OR(J42="",J42=0),"",M42/J42)</f>
        <v/>
      </c>
      <c r="O42" s="41" t="str">
        <f aca="true">IF(D42="","",IF(I42&lt;&gt;"",I42,TODAY())-D42)</f>
        <v/>
      </c>
    </row>
    <row r="43" customFormat="false" ht="15" hidden="false" customHeight="false" outlineLevel="0" collapsed="false">
      <c r="A43" s="9"/>
      <c r="B43" s="9"/>
      <c r="C43" s="9"/>
      <c r="D43" s="34"/>
      <c r="E43" s="9"/>
      <c r="F43" s="35"/>
      <c r="G43" s="35"/>
      <c r="H43" s="35"/>
      <c r="I43" s="34"/>
      <c r="J43" s="35"/>
      <c r="K43" s="35"/>
      <c r="L43" s="39" t="str">
        <f aca="false">IF(A43="","",IF(I43&lt;&gt;"","Vendu","En stock"))</f>
        <v/>
      </c>
      <c r="M43" s="17" t="str">
        <f aca="false">IF(J43="","",J43-F43-G43-K43)</f>
        <v/>
      </c>
      <c r="N43" s="40" t="str">
        <f aca="false">IF(OR(J43="",J43=0),"",M43/J43)</f>
        <v/>
      </c>
      <c r="O43" s="41" t="str">
        <f aca="true">IF(D43="","",IF(I43&lt;&gt;"",I43,TODAY())-D43)</f>
        <v/>
      </c>
    </row>
    <row r="44" customFormat="false" ht="15" hidden="false" customHeight="false" outlineLevel="0" collapsed="false">
      <c r="A44" s="9"/>
      <c r="B44" s="9"/>
      <c r="C44" s="9"/>
      <c r="D44" s="34"/>
      <c r="E44" s="9"/>
      <c r="F44" s="35"/>
      <c r="G44" s="35"/>
      <c r="H44" s="35"/>
      <c r="I44" s="34"/>
      <c r="J44" s="35"/>
      <c r="K44" s="35"/>
      <c r="L44" s="39" t="str">
        <f aca="false">IF(A44="","",IF(I44&lt;&gt;"","Vendu","En stock"))</f>
        <v/>
      </c>
      <c r="M44" s="17" t="str">
        <f aca="false">IF(J44="","",J44-F44-G44-K44)</f>
        <v/>
      </c>
      <c r="N44" s="40" t="str">
        <f aca="false">IF(OR(J44="",J44=0),"",M44/J44)</f>
        <v/>
      </c>
      <c r="O44" s="41" t="str">
        <f aca="true">IF(D44="","",IF(I44&lt;&gt;"",I44,TODAY())-D44)</f>
        <v/>
      </c>
    </row>
    <row r="45" customFormat="false" ht="15" hidden="false" customHeight="false" outlineLevel="0" collapsed="false">
      <c r="A45" s="9"/>
      <c r="B45" s="9"/>
      <c r="C45" s="9"/>
      <c r="D45" s="34"/>
      <c r="E45" s="9"/>
      <c r="F45" s="35"/>
      <c r="G45" s="35"/>
      <c r="H45" s="35"/>
      <c r="I45" s="34"/>
      <c r="J45" s="35"/>
      <c r="K45" s="35"/>
      <c r="L45" s="39" t="str">
        <f aca="false">IF(A45="","",IF(I45&lt;&gt;"","Vendu","En stock"))</f>
        <v/>
      </c>
      <c r="M45" s="17" t="str">
        <f aca="false">IF(J45="","",J45-F45-G45-K45)</f>
        <v/>
      </c>
      <c r="N45" s="40" t="str">
        <f aca="false">IF(OR(J45="",J45=0),"",M45/J45)</f>
        <v/>
      </c>
      <c r="O45" s="41" t="str">
        <f aca="true">IF(D45="","",IF(I45&lt;&gt;"",I45,TODAY())-D45)</f>
        <v/>
      </c>
    </row>
    <row r="46" customFormat="false" ht="15" hidden="false" customHeight="false" outlineLevel="0" collapsed="false">
      <c r="A46" s="9"/>
      <c r="B46" s="9"/>
      <c r="C46" s="9"/>
      <c r="D46" s="34"/>
      <c r="E46" s="9"/>
      <c r="F46" s="35"/>
      <c r="G46" s="35"/>
      <c r="H46" s="35"/>
      <c r="I46" s="34"/>
      <c r="J46" s="35"/>
      <c r="K46" s="35"/>
      <c r="L46" s="39" t="str">
        <f aca="false">IF(A46="","",IF(I46&lt;&gt;"","Vendu","En stock"))</f>
        <v/>
      </c>
      <c r="M46" s="17" t="str">
        <f aca="false">IF(J46="","",J46-F46-G46-K46)</f>
        <v/>
      </c>
      <c r="N46" s="40" t="str">
        <f aca="false">IF(OR(J46="",J46=0),"",M46/J46)</f>
        <v/>
      </c>
      <c r="O46" s="41" t="str">
        <f aca="true">IF(D46="","",IF(I46&lt;&gt;"",I46,TODAY())-D46)</f>
        <v/>
      </c>
    </row>
    <row r="47" customFormat="false" ht="15" hidden="false" customHeight="false" outlineLevel="0" collapsed="false">
      <c r="A47" s="9"/>
      <c r="B47" s="9"/>
      <c r="C47" s="9"/>
      <c r="D47" s="34"/>
      <c r="E47" s="9"/>
      <c r="F47" s="35"/>
      <c r="G47" s="35"/>
      <c r="H47" s="35"/>
      <c r="I47" s="34"/>
      <c r="J47" s="35"/>
      <c r="K47" s="35"/>
      <c r="L47" s="39" t="str">
        <f aca="false">IF(A47="","",IF(I47&lt;&gt;"","Vendu","En stock"))</f>
        <v/>
      </c>
      <c r="M47" s="17" t="str">
        <f aca="false">IF(J47="","",J47-F47-G47-K47)</f>
        <v/>
      </c>
      <c r="N47" s="40" t="str">
        <f aca="false">IF(OR(J47="",J47=0),"",M47/J47)</f>
        <v/>
      </c>
      <c r="O47" s="41" t="str">
        <f aca="true">IF(D47="","",IF(I47&lt;&gt;"",I47,TODAY())-D47)</f>
        <v/>
      </c>
    </row>
    <row r="48" customFormat="false" ht="15" hidden="false" customHeight="false" outlineLevel="0" collapsed="false">
      <c r="A48" s="9"/>
      <c r="B48" s="9"/>
      <c r="C48" s="9"/>
      <c r="D48" s="34"/>
      <c r="E48" s="9"/>
      <c r="F48" s="35"/>
      <c r="G48" s="35"/>
      <c r="H48" s="35"/>
      <c r="I48" s="34"/>
      <c r="J48" s="35"/>
      <c r="K48" s="35"/>
      <c r="L48" s="39" t="str">
        <f aca="false">IF(A48="","",IF(I48&lt;&gt;"","Vendu","En stock"))</f>
        <v/>
      </c>
      <c r="M48" s="17" t="str">
        <f aca="false">IF(J48="","",J48-F48-G48-K48)</f>
        <v/>
      </c>
      <c r="N48" s="40" t="str">
        <f aca="false">IF(OR(J48="",J48=0),"",M48/J48)</f>
        <v/>
      </c>
      <c r="O48" s="41" t="str">
        <f aca="true">IF(D48="","",IF(I48&lt;&gt;"",I48,TODAY())-D48)</f>
        <v/>
      </c>
    </row>
    <row r="49" customFormat="false" ht="15" hidden="false" customHeight="false" outlineLevel="0" collapsed="false">
      <c r="A49" s="9"/>
      <c r="B49" s="9"/>
      <c r="C49" s="9"/>
      <c r="D49" s="34"/>
      <c r="E49" s="9"/>
      <c r="F49" s="35"/>
      <c r="G49" s="35"/>
      <c r="H49" s="35"/>
      <c r="I49" s="34"/>
      <c r="J49" s="35"/>
      <c r="K49" s="35"/>
      <c r="L49" s="39" t="str">
        <f aca="false">IF(A49="","",IF(I49&lt;&gt;"","Vendu","En stock"))</f>
        <v/>
      </c>
      <c r="M49" s="17" t="str">
        <f aca="false">IF(J49="","",J49-F49-G49-K49)</f>
        <v/>
      </c>
      <c r="N49" s="40" t="str">
        <f aca="false">IF(OR(J49="",J49=0),"",M49/J49)</f>
        <v/>
      </c>
      <c r="O49" s="41" t="str">
        <f aca="true">IF(D49="","",IF(I49&lt;&gt;"",I49,TODAY())-D49)</f>
        <v/>
      </c>
    </row>
    <row r="50" customFormat="false" ht="15" hidden="false" customHeight="false" outlineLevel="0" collapsed="false">
      <c r="A50" s="9"/>
      <c r="B50" s="9"/>
      <c r="C50" s="9"/>
      <c r="D50" s="34"/>
      <c r="E50" s="9"/>
      <c r="F50" s="35"/>
      <c r="G50" s="35"/>
      <c r="H50" s="35"/>
      <c r="I50" s="34"/>
      <c r="J50" s="35"/>
      <c r="K50" s="35"/>
      <c r="L50" s="39" t="str">
        <f aca="false">IF(A50="","",IF(I50&lt;&gt;"","Vendu","En stock"))</f>
        <v/>
      </c>
      <c r="M50" s="17" t="str">
        <f aca="false">IF(J50="","",J50-F50-G50-K50)</f>
        <v/>
      </c>
      <c r="N50" s="40" t="str">
        <f aca="false">IF(OR(J50="",J50=0),"",M50/J50)</f>
        <v/>
      </c>
      <c r="O50" s="41" t="str">
        <f aca="true">IF(D50="","",IF(I50&lt;&gt;"",I50,TODAY())-D50)</f>
        <v/>
      </c>
    </row>
    <row r="51" customFormat="false" ht="15" hidden="false" customHeight="false" outlineLevel="0" collapsed="false">
      <c r="A51" s="9"/>
      <c r="B51" s="9"/>
      <c r="C51" s="9"/>
      <c r="D51" s="34"/>
      <c r="E51" s="9"/>
      <c r="F51" s="35"/>
      <c r="G51" s="35"/>
      <c r="H51" s="35"/>
      <c r="I51" s="34"/>
      <c r="J51" s="35"/>
      <c r="K51" s="35"/>
      <c r="L51" s="39" t="str">
        <f aca="false">IF(A51="","",IF(I51&lt;&gt;"","Vendu","En stock"))</f>
        <v/>
      </c>
      <c r="M51" s="17" t="str">
        <f aca="false">IF(J51="","",J51-F51-G51-K51)</f>
        <v/>
      </c>
      <c r="N51" s="40" t="str">
        <f aca="false">IF(OR(J51="",J51=0),"",M51/J51)</f>
        <v/>
      </c>
      <c r="O51" s="41" t="str">
        <f aca="true">IF(D51="","",IF(I51&lt;&gt;"",I51,TODAY())-D51)</f>
        <v/>
      </c>
    </row>
    <row r="52" customFormat="false" ht="15" hidden="false" customHeight="false" outlineLevel="0" collapsed="false">
      <c r="A52" s="9"/>
      <c r="B52" s="9"/>
      <c r="C52" s="9"/>
      <c r="D52" s="34"/>
      <c r="E52" s="9"/>
      <c r="F52" s="35"/>
      <c r="G52" s="35"/>
      <c r="H52" s="35"/>
      <c r="I52" s="34"/>
      <c r="J52" s="35"/>
      <c r="K52" s="35"/>
      <c r="L52" s="39" t="str">
        <f aca="false">IF(A52="","",IF(I52&lt;&gt;"","Vendu","En stock"))</f>
        <v/>
      </c>
      <c r="M52" s="17" t="str">
        <f aca="false">IF(J52="","",J52-F52-G52-K52)</f>
        <v/>
      </c>
      <c r="N52" s="40" t="str">
        <f aca="false">IF(OR(J52="",J52=0),"",M52/J52)</f>
        <v/>
      </c>
      <c r="O52" s="41" t="str">
        <f aca="true">IF(D52="","",IF(I52&lt;&gt;"",I52,TODAY())-D52)</f>
        <v/>
      </c>
    </row>
    <row r="53" customFormat="false" ht="15" hidden="false" customHeight="false" outlineLevel="0" collapsed="false">
      <c r="A53" s="9"/>
      <c r="B53" s="9"/>
      <c r="C53" s="9"/>
      <c r="D53" s="34"/>
      <c r="E53" s="9"/>
      <c r="F53" s="35"/>
      <c r="G53" s="35"/>
      <c r="H53" s="35"/>
      <c r="I53" s="34"/>
      <c r="J53" s="35"/>
      <c r="K53" s="35"/>
      <c r="L53" s="39" t="str">
        <f aca="false">IF(A53="","",IF(I53&lt;&gt;"","Vendu","En stock"))</f>
        <v/>
      </c>
      <c r="M53" s="17" t="str">
        <f aca="false">IF(J53="","",J53-F53-G53-K53)</f>
        <v/>
      </c>
      <c r="N53" s="40" t="str">
        <f aca="false">IF(OR(J53="",J53=0),"",M53/J53)</f>
        <v/>
      </c>
      <c r="O53" s="41" t="str">
        <f aca="true">IF(D53="","",IF(I53&lt;&gt;"",I53,TODAY())-D53)</f>
        <v/>
      </c>
    </row>
    <row r="54" customFormat="false" ht="15" hidden="false" customHeight="false" outlineLevel="0" collapsed="false">
      <c r="A54" s="9"/>
      <c r="B54" s="9"/>
      <c r="C54" s="9"/>
      <c r="D54" s="34"/>
      <c r="E54" s="9"/>
      <c r="F54" s="35"/>
      <c r="G54" s="35"/>
      <c r="H54" s="35"/>
      <c r="I54" s="34"/>
      <c r="J54" s="35"/>
      <c r="K54" s="35"/>
      <c r="L54" s="39" t="str">
        <f aca="false">IF(A54="","",IF(I54&lt;&gt;"","Vendu","En stock"))</f>
        <v/>
      </c>
      <c r="M54" s="17" t="str">
        <f aca="false">IF(J54="","",J54-F54-G54-K54)</f>
        <v/>
      </c>
      <c r="N54" s="40" t="str">
        <f aca="false">IF(OR(J54="",J54=0),"",M54/J54)</f>
        <v/>
      </c>
      <c r="O54" s="41" t="str">
        <f aca="true">IF(D54="","",IF(I54&lt;&gt;"",I54,TODAY())-D54)</f>
        <v/>
      </c>
    </row>
    <row r="55" customFormat="false" ht="15" hidden="false" customHeight="false" outlineLevel="0" collapsed="false">
      <c r="A55" s="9"/>
      <c r="B55" s="9"/>
      <c r="C55" s="9"/>
      <c r="D55" s="34"/>
      <c r="E55" s="9"/>
      <c r="F55" s="35"/>
      <c r="G55" s="35"/>
      <c r="H55" s="35"/>
      <c r="I55" s="34"/>
      <c r="J55" s="35"/>
      <c r="K55" s="35"/>
      <c r="L55" s="39" t="str">
        <f aca="false">IF(A55="","",IF(I55&lt;&gt;"","Vendu","En stock"))</f>
        <v/>
      </c>
      <c r="M55" s="17" t="str">
        <f aca="false">IF(J55="","",J55-F55-G55-K55)</f>
        <v/>
      </c>
      <c r="N55" s="40" t="str">
        <f aca="false">IF(OR(J55="",J55=0),"",M55/J55)</f>
        <v/>
      </c>
      <c r="O55" s="41" t="str">
        <f aca="true">IF(D55="","",IF(I55&lt;&gt;"",I55,TODAY())-D55)</f>
        <v/>
      </c>
    </row>
    <row r="56" customFormat="false" ht="15" hidden="false" customHeight="false" outlineLevel="0" collapsed="false">
      <c r="A56" s="9"/>
      <c r="B56" s="9"/>
      <c r="C56" s="9"/>
      <c r="D56" s="34"/>
      <c r="E56" s="9"/>
      <c r="F56" s="35"/>
      <c r="G56" s="35"/>
      <c r="H56" s="35"/>
      <c r="I56" s="34"/>
      <c r="J56" s="35"/>
      <c r="K56" s="35"/>
      <c r="L56" s="39" t="str">
        <f aca="false">IF(A56="","",IF(I56&lt;&gt;"","Vendu","En stock"))</f>
        <v/>
      </c>
      <c r="M56" s="17" t="str">
        <f aca="false">IF(J56="","",J56-F56-G56-K56)</f>
        <v/>
      </c>
      <c r="N56" s="40" t="str">
        <f aca="false">IF(OR(J56="",J56=0),"",M56/J56)</f>
        <v/>
      </c>
      <c r="O56" s="41" t="str">
        <f aca="true">IF(D56="","",IF(I56&lt;&gt;"",I56,TODAY())-D56)</f>
        <v/>
      </c>
    </row>
    <row r="57" customFormat="false" ht="15" hidden="false" customHeight="false" outlineLevel="0" collapsed="false">
      <c r="A57" s="9"/>
      <c r="B57" s="9"/>
      <c r="C57" s="9"/>
      <c r="D57" s="34"/>
      <c r="E57" s="9"/>
      <c r="F57" s="35"/>
      <c r="G57" s="35"/>
      <c r="H57" s="35"/>
      <c r="I57" s="34"/>
      <c r="J57" s="35"/>
      <c r="K57" s="35"/>
      <c r="L57" s="39" t="str">
        <f aca="false">IF(A57="","",IF(I57&lt;&gt;"","Vendu","En stock"))</f>
        <v/>
      </c>
      <c r="M57" s="17" t="str">
        <f aca="false">IF(J57="","",J57-F57-G57-K57)</f>
        <v/>
      </c>
      <c r="N57" s="40" t="str">
        <f aca="false">IF(OR(J57="",J57=0),"",M57/J57)</f>
        <v/>
      </c>
      <c r="O57" s="41" t="str">
        <f aca="true">IF(D57="","",IF(I57&lt;&gt;"",I57,TODAY())-D57)</f>
        <v/>
      </c>
    </row>
    <row r="58" customFormat="false" ht="15" hidden="false" customHeight="false" outlineLevel="0" collapsed="false">
      <c r="A58" s="9"/>
      <c r="B58" s="9"/>
      <c r="C58" s="9"/>
      <c r="D58" s="34"/>
      <c r="E58" s="9"/>
      <c r="F58" s="35"/>
      <c r="G58" s="35"/>
      <c r="H58" s="35"/>
      <c r="I58" s="34"/>
      <c r="J58" s="35"/>
      <c r="K58" s="35"/>
      <c r="L58" s="39" t="str">
        <f aca="false">IF(A58="","",IF(I58&lt;&gt;"","Vendu","En stock"))</f>
        <v/>
      </c>
      <c r="M58" s="17" t="str">
        <f aca="false">IF(J58="","",J58-F58-G58-K58)</f>
        <v/>
      </c>
      <c r="N58" s="40" t="str">
        <f aca="false">IF(OR(J58="",J58=0),"",M58/J58)</f>
        <v/>
      </c>
      <c r="O58" s="41" t="str">
        <f aca="true">IF(D58="","",IF(I58&lt;&gt;"",I58,TODAY())-D58)</f>
        <v/>
      </c>
    </row>
    <row r="59" customFormat="false" ht="15" hidden="false" customHeight="false" outlineLevel="0" collapsed="false">
      <c r="A59" s="9"/>
      <c r="B59" s="9"/>
      <c r="C59" s="9"/>
      <c r="D59" s="34"/>
      <c r="E59" s="9"/>
      <c r="F59" s="35"/>
      <c r="G59" s="35"/>
      <c r="H59" s="35"/>
      <c r="I59" s="34"/>
      <c r="J59" s="35"/>
      <c r="K59" s="35"/>
      <c r="L59" s="39" t="str">
        <f aca="false">IF(A59="","",IF(I59&lt;&gt;"","Vendu","En stock"))</f>
        <v/>
      </c>
      <c r="M59" s="17" t="str">
        <f aca="false">IF(J59="","",J59-F59-G59-K59)</f>
        <v/>
      </c>
      <c r="N59" s="40" t="str">
        <f aca="false">IF(OR(J59="",J59=0),"",M59/J59)</f>
        <v/>
      </c>
      <c r="O59" s="41" t="str">
        <f aca="true">IF(D59="","",IF(I59&lt;&gt;"",I59,TODAY())-D59)</f>
        <v/>
      </c>
    </row>
    <row r="60" customFormat="false" ht="15" hidden="false" customHeight="false" outlineLevel="0" collapsed="false">
      <c r="A60" s="9"/>
      <c r="B60" s="9"/>
      <c r="C60" s="9"/>
      <c r="D60" s="34"/>
      <c r="E60" s="9"/>
      <c r="F60" s="35"/>
      <c r="G60" s="35"/>
      <c r="H60" s="35"/>
      <c r="I60" s="34"/>
      <c r="J60" s="35"/>
      <c r="K60" s="35"/>
      <c r="L60" s="39" t="str">
        <f aca="false">IF(A60="","",IF(I60&lt;&gt;"","Vendu","En stock"))</f>
        <v/>
      </c>
      <c r="M60" s="17" t="str">
        <f aca="false">IF(J60="","",J60-F60-G60-K60)</f>
        <v/>
      </c>
      <c r="N60" s="40" t="str">
        <f aca="false">IF(OR(J60="",J60=0),"",M60/J60)</f>
        <v/>
      </c>
      <c r="O60" s="41" t="str">
        <f aca="true">IF(D60="","",IF(I60&lt;&gt;"",I60,TODAY())-D60)</f>
        <v/>
      </c>
    </row>
    <row r="61" customFormat="false" ht="15" hidden="false" customHeight="false" outlineLevel="0" collapsed="false">
      <c r="A61" s="9"/>
      <c r="B61" s="9"/>
      <c r="C61" s="9"/>
      <c r="D61" s="34"/>
      <c r="E61" s="9"/>
      <c r="F61" s="35"/>
      <c r="G61" s="35"/>
      <c r="H61" s="35"/>
      <c r="I61" s="34"/>
      <c r="J61" s="35"/>
      <c r="K61" s="35"/>
      <c r="L61" s="39" t="str">
        <f aca="false">IF(A61="","",IF(I61&lt;&gt;"","Vendu","En stock"))</f>
        <v/>
      </c>
      <c r="M61" s="17" t="str">
        <f aca="false">IF(J61="","",J61-F61-G61-K61)</f>
        <v/>
      </c>
      <c r="N61" s="40" t="str">
        <f aca="false">IF(OR(J61="",J61=0),"",M61/J61)</f>
        <v/>
      </c>
      <c r="O61" s="41" t="str">
        <f aca="true">IF(D61="","",IF(I61&lt;&gt;"",I61,TODAY())-D61)</f>
        <v/>
      </c>
    </row>
    <row r="62" customFormat="false" ht="15" hidden="false" customHeight="false" outlineLevel="0" collapsed="false">
      <c r="A62" s="9"/>
      <c r="B62" s="9"/>
      <c r="C62" s="9"/>
      <c r="D62" s="34"/>
      <c r="E62" s="9"/>
      <c r="F62" s="35"/>
      <c r="G62" s="35"/>
      <c r="H62" s="35"/>
      <c r="I62" s="34"/>
      <c r="J62" s="35"/>
      <c r="K62" s="35"/>
      <c r="L62" s="39" t="str">
        <f aca="false">IF(A62="","",IF(I62&lt;&gt;"","Vendu","En stock"))</f>
        <v/>
      </c>
      <c r="M62" s="17" t="str">
        <f aca="false">IF(J62="","",J62-F62-G62-K62)</f>
        <v/>
      </c>
      <c r="N62" s="40" t="str">
        <f aca="false">IF(OR(J62="",J62=0),"",M62/J62)</f>
        <v/>
      </c>
      <c r="O62" s="41" t="str">
        <f aca="true">IF(D62="","",IF(I62&lt;&gt;"",I62,TODAY())-D62)</f>
        <v/>
      </c>
    </row>
    <row r="63" customFormat="false" ht="15" hidden="false" customHeight="false" outlineLevel="0" collapsed="false">
      <c r="A63" s="9"/>
      <c r="B63" s="9"/>
      <c r="C63" s="9"/>
      <c r="D63" s="34"/>
      <c r="E63" s="9"/>
      <c r="F63" s="35"/>
      <c r="G63" s="35"/>
      <c r="H63" s="35"/>
      <c r="I63" s="34"/>
      <c r="J63" s="35"/>
      <c r="K63" s="35"/>
      <c r="L63" s="39" t="str">
        <f aca="false">IF(A63="","",IF(I63&lt;&gt;"","Vendu","En stock"))</f>
        <v/>
      </c>
      <c r="M63" s="17" t="str">
        <f aca="false">IF(J63="","",J63-F63-G63-K63)</f>
        <v/>
      </c>
      <c r="N63" s="40" t="str">
        <f aca="false">IF(OR(J63="",J63=0),"",M63/J63)</f>
        <v/>
      </c>
      <c r="O63" s="41" t="str">
        <f aca="true">IF(D63="","",IF(I63&lt;&gt;"",I63,TODAY())-D63)</f>
        <v/>
      </c>
    </row>
    <row r="64" customFormat="false" ht="15" hidden="false" customHeight="false" outlineLevel="0" collapsed="false">
      <c r="A64" s="9"/>
      <c r="B64" s="9"/>
      <c r="C64" s="9"/>
      <c r="D64" s="34"/>
      <c r="E64" s="9"/>
      <c r="F64" s="35"/>
      <c r="G64" s="35"/>
      <c r="H64" s="35"/>
      <c r="I64" s="34"/>
      <c r="J64" s="35"/>
      <c r="K64" s="35"/>
      <c r="L64" s="39" t="str">
        <f aca="false">IF(A64="","",IF(I64&lt;&gt;"","Vendu","En stock"))</f>
        <v/>
      </c>
      <c r="M64" s="17" t="str">
        <f aca="false">IF(J64="","",J64-F64-G64-K64)</f>
        <v/>
      </c>
      <c r="N64" s="40" t="str">
        <f aca="false">IF(OR(J64="",J64=0),"",M64/J64)</f>
        <v/>
      </c>
      <c r="O64" s="41" t="str">
        <f aca="true">IF(D64="","",IF(I64&lt;&gt;"",I64,TODAY())-D64)</f>
        <v/>
      </c>
    </row>
    <row r="65" customFormat="false" ht="15" hidden="false" customHeight="false" outlineLevel="0" collapsed="false">
      <c r="A65" s="9"/>
      <c r="B65" s="9"/>
      <c r="C65" s="9"/>
      <c r="D65" s="34"/>
      <c r="E65" s="9"/>
      <c r="F65" s="35"/>
      <c r="G65" s="35"/>
      <c r="H65" s="35"/>
      <c r="I65" s="34"/>
      <c r="J65" s="35"/>
      <c r="K65" s="35"/>
      <c r="L65" s="39" t="str">
        <f aca="false">IF(A65="","",IF(I65&lt;&gt;"","Vendu","En stock"))</f>
        <v/>
      </c>
      <c r="M65" s="17" t="str">
        <f aca="false">IF(J65="","",J65-F65-G65-K65)</f>
        <v/>
      </c>
      <c r="N65" s="40" t="str">
        <f aca="false">IF(OR(J65="",J65=0),"",M65/J65)</f>
        <v/>
      </c>
      <c r="O65" s="41" t="str">
        <f aca="true">IF(D65="","",IF(I65&lt;&gt;"",I65,TODAY())-D65)</f>
        <v/>
      </c>
    </row>
    <row r="66" customFormat="false" ht="15" hidden="false" customHeight="false" outlineLevel="0" collapsed="false">
      <c r="A66" s="9"/>
      <c r="B66" s="9"/>
      <c r="C66" s="9"/>
      <c r="D66" s="34"/>
      <c r="E66" s="9"/>
      <c r="F66" s="35"/>
      <c r="G66" s="35"/>
      <c r="H66" s="35"/>
      <c r="I66" s="34"/>
      <c r="J66" s="35"/>
      <c r="K66" s="35"/>
      <c r="L66" s="39" t="str">
        <f aca="false">IF(A66="","",IF(I66&lt;&gt;"","Vendu","En stock"))</f>
        <v/>
      </c>
      <c r="M66" s="17" t="str">
        <f aca="false">IF(J66="","",J66-F66-G66-K66)</f>
        <v/>
      </c>
      <c r="N66" s="40" t="str">
        <f aca="false">IF(OR(J66="",J66=0),"",M66/J66)</f>
        <v/>
      </c>
      <c r="O66" s="41" t="str">
        <f aca="true">IF(D66="","",IF(I66&lt;&gt;"",I66,TODAY())-D66)</f>
        <v/>
      </c>
    </row>
    <row r="67" customFormat="false" ht="15" hidden="false" customHeight="false" outlineLevel="0" collapsed="false">
      <c r="A67" s="9"/>
      <c r="B67" s="9"/>
      <c r="C67" s="9"/>
      <c r="D67" s="34"/>
      <c r="E67" s="9"/>
      <c r="F67" s="35"/>
      <c r="G67" s="35"/>
      <c r="H67" s="35"/>
      <c r="I67" s="34"/>
      <c r="J67" s="35"/>
      <c r="K67" s="35"/>
      <c r="L67" s="39" t="str">
        <f aca="false">IF(A67="","",IF(I67&lt;&gt;"","Vendu","En stock"))</f>
        <v/>
      </c>
      <c r="M67" s="17" t="str">
        <f aca="false">IF(J67="","",J67-F67-G67-K67)</f>
        <v/>
      </c>
      <c r="N67" s="40" t="str">
        <f aca="false">IF(OR(J67="",J67=0),"",M67/J67)</f>
        <v/>
      </c>
      <c r="O67" s="41" t="str">
        <f aca="true">IF(D67="","",IF(I67&lt;&gt;"",I67,TODAY())-D67)</f>
        <v/>
      </c>
    </row>
    <row r="68" customFormat="false" ht="15" hidden="false" customHeight="false" outlineLevel="0" collapsed="false">
      <c r="A68" s="9"/>
      <c r="B68" s="9"/>
      <c r="C68" s="9"/>
      <c r="D68" s="34"/>
      <c r="E68" s="9"/>
      <c r="F68" s="35"/>
      <c r="G68" s="35"/>
      <c r="H68" s="35"/>
      <c r="I68" s="34"/>
      <c r="J68" s="35"/>
      <c r="K68" s="35"/>
      <c r="L68" s="39" t="str">
        <f aca="false">IF(A68="","",IF(I68&lt;&gt;"","Vendu","En stock"))</f>
        <v/>
      </c>
      <c r="M68" s="17" t="str">
        <f aca="false">IF(J68="","",J68-F68-G68-K68)</f>
        <v/>
      </c>
      <c r="N68" s="40" t="str">
        <f aca="false">IF(OR(J68="",J68=0),"",M68/J68)</f>
        <v/>
      </c>
      <c r="O68" s="41" t="str">
        <f aca="true">IF(D68="","",IF(I68&lt;&gt;"",I68,TODAY())-D68)</f>
        <v/>
      </c>
    </row>
    <row r="69" customFormat="false" ht="15" hidden="false" customHeight="false" outlineLevel="0" collapsed="false">
      <c r="A69" s="9"/>
      <c r="B69" s="9"/>
      <c r="C69" s="9"/>
      <c r="D69" s="34"/>
      <c r="E69" s="9"/>
      <c r="F69" s="35"/>
      <c r="G69" s="35"/>
      <c r="H69" s="35"/>
      <c r="I69" s="34"/>
      <c r="J69" s="35"/>
      <c r="K69" s="35"/>
      <c r="L69" s="39" t="str">
        <f aca="false">IF(A69="","",IF(I69&lt;&gt;"","Vendu","En stock"))</f>
        <v/>
      </c>
      <c r="M69" s="17" t="str">
        <f aca="false">IF(J69="","",J69-F69-G69-K69)</f>
        <v/>
      </c>
      <c r="N69" s="40" t="str">
        <f aca="false">IF(OR(J69="",J69=0),"",M69/J69)</f>
        <v/>
      </c>
      <c r="O69" s="41" t="str">
        <f aca="true">IF(D69="","",IF(I69&lt;&gt;"",I69,TODAY())-D69)</f>
        <v/>
      </c>
    </row>
    <row r="70" customFormat="false" ht="15" hidden="false" customHeight="false" outlineLevel="0" collapsed="false">
      <c r="A70" s="9"/>
      <c r="B70" s="9"/>
      <c r="C70" s="9"/>
      <c r="D70" s="34"/>
      <c r="E70" s="9"/>
      <c r="F70" s="35"/>
      <c r="G70" s="35"/>
      <c r="H70" s="35"/>
      <c r="I70" s="34"/>
      <c r="J70" s="35"/>
      <c r="K70" s="35"/>
      <c r="L70" s="39" t="str">
        <f aca="false">IF(A70="","",IF(I70&lt;&gt;"","Vendu","En stock"))</f>
        <v/>
      </c>
      <c r="M70" s="17" t="str">
        <f aca="false">IF(J70="","",J70-F70-G70-K70)</f>
        <v/>
      </c>
      <c r="N70" s="40" t="str">
        <f aca="false">IF(OR(J70="",J70=0),"",M70/J70)</f>
        <v/>
      </c>
      <c r="O70" s="41" t="str">
        <f aca="true">IF(D70="","",IF(I70&lt;&gt;"",I70,TODAY())-D70)</f>
        <v/>
      </c>
    </row>
    <row r="71" customFormat="false" ht="15" hidden="false" customHeight="false" outlineLevel="0" collapsed="false">
      <c r="A71" s="9"/>
      <c r="B71" s="9"/>
      <c r="C71" s="9"/>
      <c r="D71" s="34"/>
      <c r="E71" s="9"/>
      <c r="F71" s="35"/>
      <c r="G71" s="35"/>
      <c r="H71" s="35"/>
      <c r="I71" s="34"/>
      <c r="J71" s="35"/>
      <c r="K71" s="35"/>
      <c r="L71" s="39" t="str">
        <f aca="false">IF(A71="","",IF(I71&lt;&gt;"","Vendu","En stock"))</f>
        <v/>
      </c>
      <c r="M71" s="17" t="str">
        <f aca="false">IF(J71="","",J71-F71-G71-K71)</f>
        <v/>
      </c>
      <c r="N71" s="40" t="str">
        <f aca="false">IF(OR(J71="",J71=0),"",M71/J71)</f>
        <v/>
      </c>
      <c r="O71" s="41" t="str">
        <f aca="true">IF(D71="","",IF(I71&lt;&gt;"",I71,TODAY())-D71)</f>
        <v/>
      </c>
    </row>
    <row r="72" customFormat="false" ht="15" hidden="false" customHeight="false" outlineLevel="0" collapsed="false">
      <c r="A72" s="9"/>
      <c r="B72" s="9"/>
      <c r="C72" s="9"/>
      <c r="D72" s="34"/>
      <c r="E72" s="9"/>
      <c r="F72" s="35"/>
      <c r="G72" s="35"/>
      <c r="H72" s="35"/>
      <c r="I72" s="34"/>
      <c r="J72" s="35"/>
      <c r="K72" s="35"/>
      <c r="L72" s="39" t="str">
        <f aca="false">IF(A72="","",IF(I72&lt;&gt;"","Vendu","En stock"))</f>
        <v/>
      </c>
      <c r="M72" s="17" t="str">
        <f aca="false">IF(J72="","",J72-F72-G72-K72)</f>
        <v/>
      </c>
      <c r="N72" s="40" t="str">
        <f aca="false">IF(OR(J72="",J72=0),"",M72/J72)</f>
        <v/>
      </c>
      <c r="O72" s="41" t="str">
        <f aca="true">IF(D72="","",IF(I72&lt;&gt;"",I72,TODAY())-D72)</f>
        <v/>
      </c>
    </row>
    <row r="73" customFormat="false" ht="15" hidden="false" customHeight="false" outlineLevel="0" collapsed="false">
      <c r="A73" s="9"/>
      <c r="B73" s="9"/>
      <c r="C73" s="9"/>
      <c r="D73" s="34"/>
      <c r="E73" s="9"/>
      <c r="F73" s="35"/>
      <c r="G73" s="35"/>
      <c r="H73" s="35"/>
      <c r="I73" s="34"/>
      <c r="J73" s="35"/>
      <c r="K73" s="35"/>
      <c r="L73" s="39" t="str">
        <f aca="false">IF(A73="","",IF(I73&lt;&gt;"","Vendu","En stock"))</f>
        <v/>
      </c>
      <c r="M73" s="17" t="str">
        <f aca="false">IF(J73="","",J73-F73-G73-K73)</f>
        <v/>
      </c>
      <c r="N73" s="40" t="str">
        <f aca="false">IF(OR(J73="",J73=0),"",M73/J73)</f>
        <v/>
      </c>
      <c r="O73" s="41" t="str">
        <f aca="true">IF(D73="","",IF(I73&lt;&gt;"",I73,TODAY())-D73)</f>
        <v/>
      </c>
    </row>
    <row r="74" customFormat="false" ht="15" hidden="false" customHeight="false" outlineLevel="0" collapsed="false">
      <c r="A74" s="9"/>
      <c r="B74" s="9"/>
      <c r="C74" s="9"/>
      <c r="D74" s="34"/>
      <c r="E74" s="9"/>
      <c r="F74" s="35"/>
      <c r="G74" s="35"/>
      <c r="H74" s="35"/>
      <c r="I74" s="34"/>
      <c r="J74" s="35"/>
      <c r="K74" s="35"/>
      <c r="L74" s="39" t="str">
        <f aca="false">IF(A74="","",IF(I74&lt;&gt;"","Vendu","En stock"))</f>
        <v/>
      </c>
      <c r="M74" s="17" t="str">
        <f aca="false">IF(J74="","",J74-F74-G74-K74)</f>
        <v/>
      </c>
      <c r="N74" s="40" t="str">
        <f aca="false">IF(OR(J74="",J74=0),"",M74/J74)</f>
        <v/>
      </c>
      <c r="O74" s="41" t="str">
        <f aca="true">IF(D74="","",IF(I74&lt;&gt;"",I74,TODAY())-D74)</f>
        <v/>
      </c>
    </row>
    <row r="75" customFormat="false" ht="15" hidden="false" customHeight="false" outlineLevel="0" collapsed="false">
      <c r="A75" s="9"/>
      <c r="B75" s="9"/>
      <c r="C75" s="9"/>
      <c r="D75" s="34"/>
      <c r="E75" s="9"/>
      <c r="F75" s="35"/>
      <c r="G75" s="35"/>
      <c r="H75" s="35"/>
      <c r="I75" s="34"/>
      <c r="J75" s="35"/>
      <c r="K75" s="35"/>
      <c r="L75" s="39" t="str">
        <f aca="false">IF(A75="","",IF(I75&lt;&gt;"","Vendu","En stock"))</f>
        <v/>
      </c>
      <c r="M75" s="17" t="str">
        <f aca="false">IF(J75="","",J75-F75-G75-K75)</f>
        <v/>
      </c>
      <c r="N75" s="40" t="str">
        <f aca="false">IF(OR(J75="",J75=0),"",M75/J75)</f>
        <v/>
      </c>
      <c r="O75" s="41" t="str">
        <f aca="true">IF(D75="","",IF(I75&lt;&gt;"",I75,TODAY())-D75)</f>
        <v/>
      </c>
    </row>
    <row r="76" customFormat="false" ht="15" hidden="false" customHeight="false" outlineLevel="0" collapsed="false">
      <c r="A76" s="9"/>
      <c r="B76" s="9"/>
      <c r="C76" s="9"/>
      <c r="D76" s="34"/>
      <c r="E76" s="9"/>
      <c r="F76" s="35"/>
      <c r="G76" s="35"/>
      <c r="H76" s="35"/>
      <c r="I76" s="34"/>
      <c r="J76" s="35"/>
      <c r="K76" s="35"/>
      <c r="L76" s="39" t="str">
        <f aca="false">IF(A76="","",IF(I76&lt;&gt;"","Vendu","En stock"))</f>
        <v/>
      </c>
      <c r="M76" s="17" t="str">
        <f aca="false">IF(J76="","",J76-F76-G76-K76)</f>
        <v/>
      </c>
      <c r="N76" s="40" t="str">
        <f aca="false">IF(OR(J76="",J76=0),"",M76/J76)</f>
        <v/>
      </c>
      <c r="O76" s="41" t="str">
        <f aca="true">IF(D76="","",IF(I76&lt;&gt;"",I76,TODAY())-D76)</f>
        <v/>
      </c>
    </row>
    <row r="77" customFormat="false" ht="15" hidden="false" customHeight="false" outlineLevel="0" collapsed="false">
      <c r="A77" s="9"/>
      <c r="B77" s="9"/>
      <c r="C77" s="9"/>
      <c r="D77" s="34"/>
      <c r="E77" s="9"/>
      <c r="F77" s="35"/>
      <c r="G77" s="35"/>
      <c r="H77" s="35"/>
      <c r="I77" s="34"/>
      <c r="J77" s="35"/>
      <c r="K77" s="35"/>
      <c r="L77" s="39" t="str">
        <f aca="false">IF(A77="","",IF(I77&lt;&gt;"","Vendu","En stock"))</f>
        <v/>
      </c>
      <c r="M77" s="17" t="str">
        <f aca="false">IF(J77="","",J77-F77-G77-K77)</f>
        <v/>
      </c>
      <c r="N77" s="40" t="str">
        <f aca="false">IF(OR(J77="",J77=0),"",M77/J77)</f>
        <v/>
      </c>
      <c r="O77" s="41" t="str">
        <f aca="true">IF(D77="","",IF(I77&lt;&gt;"",I77,TODAY())-D77)</f>
        <v/>
      </c>
    </row>
    <row r="78" customFormat="false" ht="15" hidden="false" customHeight="false" outlineLevel="0" collapsed="false">
      <c r="A78" s="9"/>
      <c r="B78" s="9"/>
      <c r="C78" s="9"/>
      <c r="D78" s="34"/>
      <c r="E78" s="9"/>
      <c r="F78" s="35"/>
      <c r="G78" s="35"/>
      <c r="H78" s="35"/>
      <c r="I78" s="34"/>
      <c r="J78" s="35"/>
      <c r="K78" s="35"/>
      <c r="L78" s="39" t="str">
        <f aca="false">IF(A78="","",IF(I78&lt;&gt;"","Vendu","En stock"))</f>
        <v/>
      </c>
      <c r="M78" s="17" t="str">
        <f aca="false">IF(J78="","",J78-F78-G78-K78)</f>
        <v/>
      </c>
      <c r="N78" s="40" t="str">
        <f aca="false">IF(OR(J78="",J78=0),"",M78/J78)</f>
        <v/>
      </c>
      <c r="O78" s="41" t="str">
        <f aca="true">IF(D78="","",IF(I78&lt;&gt;"",I78,TODAY())-D78)</f>
        <v/>
      </c>
    </row>
    <row r="79" customFormat="false" ht="15" hidden="false" customHeight="false" outlineLevel="0" collapsed="false">
      <c r="A79" s="9"/>
      <c r="B79" s="9"/>
      <c r="C79" s="9"/>
      <c r="D79" s="34"/>
      <c r="E79" s="9"/>
      <c r="F79" s="35"/>
      <c r="G79" s="35"/>
      <c r="H79" s="35"/>
      <c r="I79" s="34"/>
      <c r="J79" s="35"/>
      <c r="K79" s="35"/>
      <c r="L79" s="39" t="str">
        <f aca="false">IF(A79="","",IF(I79&lt;&gt;"","Vendu","En stock"))</f>
        <v/>
      </c>
      <c r="M79" s="17" t="str">
        <f aca="false">IF(J79="","",J79-F79-G79-K79)</f>
        <v/>
      </c>
      <c r="N79" s="40" t="str">
        <f aca="false">IF(OR(J79="",J79=0),"",M79/J79)</f>
        <v/>
      </c>
      <c r="O79" s="41" t="str">
        <f aca="true">IF(D79="","",IF(I79&lt;&gt;"",I79,TODAY())-D79)</f>
        <v/>
      </c>
    </row>
    <row r="80" customFormat="false" ht="15" hidden="false" customHeight="false" outlineLevel="0" collapsed="false">
      <c r="A80" s="9"/>
      <c r="B80" s="9"/>
      <c r="C80" s="9"/>
      <c r="D80" s="34"/>
      <c r="E80" s="9"/>
      <c r="F80" s="35"/>
      <c r="G80" s="35"/>
      <c r="H80" s="35"/>
      <c r="I80" s="34"/>
      <c r="J80" s="35"/>
      <c r="K80" s="35"/>
      <c r="L80" s="39" t="str">
        <f aca="false">IF(A80="","",IF(I80&lt;&gt;"","Vendu","En stock"))</f>
        <v/>
      </c>
      <c r="M80" s="17" t="str">
        <f aca="false">IF(J80="","",J80-F80-G80-K80)</f>
        <v/>
      </c>
      <c r="N80" s="40" t="str">
        <f aca="false">IF(OR(J80="",J80=0),"",M80/J80)</f>
        <v/>
      </c>
      <c r="O80" s="41" t="str">
        <f aca="true">IF(D80="","",IF(I80&lt;&gt;"",I80,TODAY())-D80)</f>
        <v/>
      </c>
    </row>
    <row r="81" customFormat="false" ht="15" hidden="false" customHeight="false" outlineLevel="0" collapsed="false">
      <c r="A81" s="9"/>
      <c r="B81" s="9"/>
      <c r="C81" s="9"/>
      <c r="D81" s="34"/>
      <c r="E81" s="9"/>
      <c r="F81" s="35"/>
      <c r="G81" s="35"/>
      <c r="H81" s="35"/>
      <c r="I81" s="34"/>
      <c r="J81" s="35"/>
      <c r="K81" s="35"/>
      <c r="L81" s="39" t="str">
        <f aca="false">IF(A81="","",IF(I81&lt;&gt;"","Vendu","En stock"))</f>
        <v/>
      </c>
      <c r="M81" s="17" t="str">
        <f aca="false">IF(J81="","",J81-F81-G81-K81)</f>
        <v/>
      </c>
      <c r="N81" s="40" t="str">
        <f aca="false">IF(OR(J81="",J81=0),"",M81/J81)</f>
        <v/>
      </c>
      <c r="O81" s="41" t="str">
        <f aca="true">IF(D81="","",IF(I81&lt;&gt;"",I81,TODAY())-D81)</f>
        <v/>
      </c>
    </row>
    <row r="82" customFormat="false" ht="15" hidden="false" customHeight="false" outlineLevel="0" collapsed="false">
      <c r="A82" s="9"/>
      <c r="B82" s="9"/>
      <c r="C82" s="9"/>
      <c r="D82" s="34"/>
      <c r="E82" s="9"/>
      <c r="F82" s="35"/>
      <c r="G82" s="35"/>
      <c r="H82" s="35"/>
      <c r="I82" s="34"/>
      <c r="J82" s="35"/>
      <c r="K82" s="35"/>
      <c r="L82" s="39" t="str">
        <f aca="false">IF(A82="","",IF(I82&lt;&gt;"","Vendu","En stock"))</f>
        <v/>
      </c>
      <c r="M82" s="17" t="str">
        <f aca="false">IF(J82="","",J82-F82-G82-K82)</f>
        <v/>
      </c>
      <c r="N82" s="40" t="str">
        <f aca="false">IF(OR(J82="",J82=0),"",M82/J82)</f>
        <v/>
      </c>
      <c r="O82" s="41" t="str">
        <f aca="true">IF(D82="","",IF(I82&lt;&gt;"",I82,TODAY())-D82)</f>
        <v/>
      </c>
    </row>
    <row r="83" customFormat="false" ht="15" hidden="false" customHeight="false" outlineLevel="0" collapsed="false">
      <c r="A83" s="9"/>
      <c r="B83" s="9"/>
      <c r="C83" s="9"/>
      <c r="D83" s="34"/>
      <c r="E83" s="9"/>
      <c r="F83" s="35"/>
      <c r="G83" s="35"/>
      <c r="H83" s="35"/>
      <c r="I83" s="34"/>
      <c r="J83" s="35"/>
      <c r="K83" s="35"/>
      <c r="L83" s="39" t="str">
        <f aca="false">IF(A83="","",IF(I83&lt;&gt;"","Vendu","En stock"))</f>
        <v/>
      </c>
      <c r="M83" s="17" t="str">
        <f aca="false">IF(J83="","",J83-F83-G83-K83)</f>
        <v/>
      </c>
      <c r="N83" s="40" t="str">
        <f aca="false">IF(OR(J83="",J83=0),"",M83/J83)</f>
        <v/>
      </c>
      <c r="O83" s="41" t="str">
        <f aca="true">IF(D83="","",IF(I83&lt;&gt;"",I83,TODAY())-D83)</f>
        <v/>
      </c>
    </row>
    <row r="84" customFormat="false" ht="15" hidden="false" customHeight="false" outlineLevel="0" collapsed="false">
      <c r="A84" s="9"/>
      <c r="B84" s="9"/>
      <c r="C84" s="9"/>
      <c r="D84" s="34"/>
      <c r="E84" s="9"/>
      <c r="F84" s="35"/>
      <c r="G84" s="35"/>
      <c r="H84" s="35"/>
      <c r="I84" s="34"/>
      <c r="J84" s="35"/>
      <c r="K84" s="35"/>
      <c r="L84" s="39" t="str">
        <f aca="false">IF(A84="","",IF(I84&lt;&gt;"","Vendu","En stock"))</f>
        <v/>
      </c>
      <c r="M84" s="17" t="str">
        <f aca="false">IF(J84="","",J84-F84-G84-K84)</f>
        <v/>
      </c>
      <c r="N84" s="40" t="str">
        <f aca="false">IF(OR(J84="",J84=0),"",M84/J84)</f>
        <v/>
      </c>
      <c r="O84" s="41" t="str">
        <f aca="true">IF(D84="","",IF(I84&lt;&gt;"",I84,TODAY())-D84)</f>
        <v/>
      </c>
    </row>
    <row r="85" customFormat="false" ht="15" hidden="false" customHeight="false" outlineLevel="0" collapsed="false">
      <c r="A85" s="9"/>
      <c r="B85" s="9"/>
      <c r="C85" s="9"/>
      <c r="D85" s="34"/>
      <c r="E85" s="9"/>
      <c r="F85" s="35"/>
      <c r="G85" s="35"/>
      <c r="H85" s="35"/>
      <c r="I85" s="34"/>
      <c r="J85" s="35"/>
      <c r="K85" s="35"/>
      <c r="L85" s="39" t="str">
        <f aca="false">IF(A85="","",IF(I85&lt;&gt;"","Vendu","En stock"))</f>
        <v/>
      </c>
      <c r="M85" s="17" t="str">
        <f aca="false">IF(J85="","",J85-F85-G85-K85)</f>
        <v/>
      </c>
      <c r="N85" s="40" t="str">
        <f aca="false">IF(OR(J85="",J85=0),"",M85/J85)</f>
        <v/>
      </c>
      <c r="O85" s="41" t="str">
        <f aca="true">IF(D85="","",IF(I85&lt;&gt;"",I85,TODAY())-D85)</f>
        <v/>
      </c>
    </row>
    <row r="86" customFormat="false" ht="15" hidden="false" customHeight="false" outlineLevel="0" collapsed="false">
      <c r="A86" s="9"/>
      <c r="B86" s="9"/>
      <c r="C86" s="9"/>
      <c r="D86" s="34"/>
      <c r="E86" s="9"/>
      <c r="F86" s="35"/>
      <c r="G86" s="35"/>
      <c r="H86" s="35"/>
      <c r="I86" s="34"/>
      <c r="J86" s="35"/>
      <c r="K86" s="35"/>
      <c r="L86" s="39" t="str">
        <f aca="false">IF(A86="","",IF(I86&lt;&gt;"","Vendu","En stock"))</f>
        <v/>
      </c>
      <c r="M86" s="17" t="str">
        <f aca="false">IF(J86="","",J86-F86-G86-K86)</f>
        <v/>
      </c>
      <c r="N86" s="40" t="str">
        <f aca="false">IF(OR(J86="",J86=0),"",M86/J86)</f>
        <v/>
      </c>
      <c r="O86" s="41" t="str">
        <f aca="true">IF(D86="","",IF(I86&lt;&gt;"",I86,TODAY())-D86)</f>
        <v/>
      </c>
    </row>
    <row r="87" customFormat="false" ht="15" hidden="false" customHeight="false" outlineLevel="0" collapsed="false">
      <c r="A87" s="9"/>
      <c r="B87" s="9"/>
      <c r="C87" s="9"/>
      <c r="D87" s="34"/>
      <c r="E87" s="9"/>
      <c r="F87" s="35"/>
      <c r="G87" s="35"/>
      <c r="H87" s="35"/>
      <c r="I87" s="34"/>
      <c r="J87" s="35"/>
      <c r="K87" s="35"/>
      <c r="L87" s="39" t="str">
        <f aca="false">IF(A87="","",IF(I87&lt;&gt;"","Vendu","En stock"))</f>
        <v/>
      </c>
      <c r="M87" s="17" t="str">
        <f aca="false">IF(J87="","",J87-F87-G87-K87)</f>
        <v/>
      </c>
      <c r="N87" s="40" t="str">
        <f aca="false">IF(OR(J87="",J87=0),"",M87/J87)</f>
        <v/>
      </c>
      <c r="O87" s="41" t="str">
        <f aca="true">IF(D87="","",IF(I87&lt;&gt;"",I87,TODAY())-D87)</f>
        <v/>
      </c>
    </row>
    <row r="88" customFormat="false" ht="15" hidden="false" customHeight="false" outlineLevel="0" collapsed="false">
      <c r="A88" s="9"/>
      <c r="B88" s="9"/>
      <c r="C88" s="9"/>
      <c r="D88" s="34"/>
      <c r="E88" s="9"/>
      <c r="F88" s="35"/>
      <c r="G88" s="35"/>
      <c r="H88" s="35"/>
      <c r="I88" s="34"/>
      <c r="J88" s="35"/>
      <c r="K88" s="35"/>
      <c r="L88" s="39" t="str">
        <f aca="false">IF(A88="","",IF(I88&lt;&gt;"","Vendu","En stock"))</f>
        <v/>
      </c>
      <c r="M88" s="17" t="str">
        <f aca="false">IF(J88="","",J88-F88-G88-K88)</f>
        <v/>
      </c>
      <c r="N88" s="40" t="str">
        <f aca="false">IF(OR(J88="",J88=0),"",M88/J88)</f>
        <v/>
      </c>
      <c r="O88" s="41" t="str">
        <f aca="true">IF(D88="","",IF(I88&lt;&gt;"",I88,TODAY())-D88)</f>
        <v/>
      </c>
    </row>
    <row r="89" customFormat="false" ht="15" hidden="false" customHeight="false" outlineLevel="0" collapsed="false">
      <c r="A89" s="9"/>
      <c r="B89" s="9"/>
      <c r="C89" s="9"/>
      <c r="D89" s="34"/>
      <c r="E89" s="9"/>
      <c r="F89" s="35"/>
      <c r="G89" s="35"/>
      <c r="H89" s="35"/>
      <c r="I89" s="34"/>
      <c r="J89" s="35"/>
      <c r="K89" s="35"/>
      <c r="L89" s="39" t="str">
        <f aca="false">IF(A89="","",IF(I89&lt;&gt;"","Vendu","En stock"))</f>
        <v/>
      </c>
      <c r="M89" s="17" t="str">
        <f aca="false">IF(J89="","",J89-F89-G89-K89)</f>
        <v/>
      </c>
      <c r="N89" s="40" t="str">
        <f aca="false">IF(OR(J89="",J89=0),"",M89/J89)</f>
        <v/>
      </c>
      <c r="O89" s="41" t="str">
        <f aca="true">IF(D89="","",IF(I89&lt;&gt;"",I89,TODAY())-D89)</f>
        <v/>
      </c>
    </row>
    <row r="90" customFormat="false" ht="15" hidden="false" customHeight="false" outlineLevel="0" collapsed="false">
      <c r="A90" s="9"/>
      <c r="B90" s="9"/>
      <c r="C90" s="9"/>
      <c r="D90" s="34"/>
      <c r="E90" s="9"/>
      <c r="F90" s="35"/>
      <c r="G90" s="35"/>
      <c r="H90" s="35"/>
      <c r="I90" s="34"/>
      <c r="J90" s="35"/>
      <c r="K90" s="35"/>
      <c r="L90" s="39" t="str">
        <f aca="false">IF(A90="","",IF(I90&lt;&gt;"","Vendu","En stock"))</f>
        <v/>
      </c>
      <c r="M90" s="17" t="str">
        <f aca="false">IF(J90="","",J90-F90-G90-K90)</f>
        <v/>
      </c>
      <c r="N90" s="40" t="str">
        <f aca="false">IF(OR(J90="",J90=0),"",M90/J90)</f>
        <v/>
      </c>
      <c r="O90" s="41" t="str">
        <f aca="true">IF(D90="","",IF(I90&lt;&gt;"",I90,TODAY())-D90)</f>
        <v/>
      </c>
    </row>
    <row r="91" customFormat="false" ht="15" hidden="false" customHeight="false" outlineLevel="0" collapsed="false">
      <c r="A91" s="9"/>
      <c r="B91" s="9"/>
      <c r="C91" s="9"/>
      <c r="D91" s="34"/>
      <c r="E91" s="9"/>
      <c r="F91" s="35"/>
      <c r="G91" s="35"/>
      <c r="H91" s="35"/>
      <c r="I91" s="34"/>
      <c r="J91" s="35"/>
      <c r="K91" s="35"/>
      <c r="L91" s="39" t="str">
        <f aca="false">IF(A91="","",IF(I91&lt;&gt;"","Vendu","En stock"))</f>
        <v/>
      </c>
      <c r="M91" s="17" t="str">
        <f aca="false">IF(J91="","",J91-F91-G91-K91)</f>
        <v/>
      </c>
      <c r="N91" s="40" t="str">
        <f aca="false">IF(OR(J91="",J91=0),"",M91/J91)</f>
        <v/>
      </c>
      <c r="O91" s="41" t="str">
        <f aca="true">IF(D91="","",IF(I91&lt;&gt;"",I91,TODAY())-D91)</f>
        <v/>
      </c>
    </row>
    <row r="92" customFormat="false" ht="15" hidden="false" customHeight="false" outlineLevel="0" collapsed="false">
      <c r="A92" s="9"/>
      <c r="B92" s="9"/>
      <c r="C92" s="9"/>
      <c r="D92" s="34"/>
      <c r="E92" s="9"/>
      <c r="F92" s="35"/>
      <c r="G92" s="35"/>
      <c r="H92" s="35"/>
      <c r="I92" s="34"/>
      <c r="J92" s="35"/>
      <c r="K92" s="35"/>
      <c r="L92" s="39" t="str">
        <f aca="false">IF(A92="","",IF(I92&lt;&gt;"","Vendu","En stock"))</f>
        <v/>
      </c>
      <c r="M92" s="17" t="str">
        <f aca="false">IF(J92="","",J92-F92-G92-K92)</f>
        <v/>
      </c>
      <c r="N92" s="40" t="str">
        <f aca="false">IF(OR(J92="",J92=0),"",M92/J92)</f>
        <v/>
      </c>
      <c r="O92" s="41" t="str">
        <f aca="true">IF(D92="","",IF(I92&lt;&gt;"",I92,TODAY())-D92)</f>
        <v/>
      </c>
    </row>
    <row r="93" customFormat="false" ht="15" hidden="false" customHeight="false" outlineLevel="0" collapsed="false">
      <c r="A93" s="9"/>
      <c r="B93" s="9"/>
      <c r="C93" s="9"/>
      <c r="D93" s="34"/>
      <c r="E93" s="9"/>
      <c r="F93" s="35"/>
      <c r="G93" s="35"/>
      <c r="H93" s="35"/>
      <c r="I93" s="34"/>
      <c r="J93" s="35"/>
      <c r="K93" s="35"/>
      <c r="L93" s="39" t="str">
        <f aca="false">IF(A93="","",IF(I93&lt;&gt;"","Vendu","En stock"))</f>
        <v/>
      </c>
      <c r="M93" s="17" t="str">
        <f aca="false">IF(J93="","",J93-F93-G93-K93)</f>
        <v/>
      </c>
      <c r="N93" s="40" t="str">
        <f aca="false">IF(OR(J93="",J93=0),"",M93/J93)</f>
        <v/>
      </c>
      <c r="O93" s="41" t="str">
        <f aca="true">IF(D93="","",IF(I93&lt;&gt;"",I93,TODAY())-D93)</f>
        <v/>
      </c>
    </row>
    <row r="94" customFormat="false" ht="15" hidden="false" customHeight="false" outlineLevel="0" collapsed="false">
      <c r="A94" s="9"/>
      <c r="B94" s="9"/>
      <c r="C94" s="9"/>
      <c r="D94" s="34"/>
      <c r="E94" s="9"/>
      <c r="F94" s="35"/>
      <c r="G94" s="35"/>
      <c r="H94" s="35"/>
      <c r="I94" s="34"/>
      <c r="J94" s="35"/>
      <c r="K94" s="35"/>
      <c r="L94" s="39" t="str">
        <f aca="false">IF(A94="","",IF(I94&lt;&gt;"","Vendu","En stock"))</f>
        <v/>
      </c>
      <c r="M94" s="17" t="str">
        <f aca="false">IF(J94="","",J94-F94-G94-K94)</f>
        <v/>
      </c>
      <c r="N94" s="40" t="str">
        <f aca="false">IF(OR(J94="",J94=0),"",M94/J94)</f>
        <v/>
      </c>
      <c r="O94" s="41" t="str">
        <f aca="true">IF(D94="","",IF(I94&lt;&gt;"",I94,TODAY())-D94)</f>
        <v/>
      </c>
    </row>
    <row r="95" customFormat="false" ht="15" hidden="false" customHeight="false" outlineLevel="0" collapsed="false">
      <c r="A95" s="9"/>
      <c r="B95" s="9"/>
      <c r="C95" s="9"/>
      <c r="D95" s="34"/>
      <c r="E95" s="9"/>
      <c r="F95" s="35"/>
      <c r="G95" s="35"/>
      <c r="H95" s="35"/>
      <c r="I95" s="34"/>
      <c r="J95" s="35"/>
      <c r="K95" s="35"/>
      <c r="L95" s="39" t="str">
        <f aca="false">IF(A95="","",IF(I95&lt;&gt;"","Vendu","En stock"))</f>
        <v/>
      </c>
      <c r="M95" s="17" t="str">
        <f aca="false">IF(J95="","",J95-F95-G95-K95)</f>
        <v/>
      </c>
      <c r="N95" s="40" t="str">
        <f aca="false">IF(OR(J95="",J95=0),"",M95/J95)</f>
        <v/>
      </c>
      <c r="O95" s="41" t="str">
        <f aca="true">IF(D95="","",IF(I95&lt;&gt;"",I95,TODAY())-D95)</f>
        <v/>
      </c>
    </row>
    <row r="96" customFormat="false" ht="15" hidden="false" customHeight="false" outlineLevel="0" collapsed="false">
      <c r="A96" s="9"/>
      <c r="B96" s="9"/>
      <c r="C96" s="9"/>
      <c r="D96" s="34"/>
      <c r="E96" s="9"/>
      <c r="F96" s="35"/>
      <c r="G96" s="35"/>
      <c r="H96" s="35"/>
      <c r="I96" s="34"/>
      <c r="J96" s="35"/>
      <c r="K96" s="35"/>
      <c r="L96" s="39" t="str">
        <f aca="false">IF(A96="","",IF(I96&lt;&gt;"","Vendu","En stock"))</f>
        <v/>
      </c>
      <c r="M96" s="17" t="str">
        <f aca="false">IF(J96="","",J96-F96-G96-K96)</f>
        <v/>
      </c>
      <c r="N96" s="40" t="str">
        <f aca="false">IF(OR(J96="",J96=0),"",M96/J96)</f>
        <v/>
      </c>
      <c r="O96" s="41" t="str">
        <f aca="true">IF(D96="","",IF(I96&lt;&gt;"",I96,TODAY())-D96)</f>
        <v/>
      </c>
    </row>
    <row r="97" customFormat="false" ht="15" hidden="false" customHeight="false" outlineLevel="0" collapsed="false">
      <c r="A97" s="9"/>
      <c r="B97" s="9"/>
      <c r="C97" s="9"/>
      <c r="D97" s="34"/>
      <c r="E97" s="9"/>
      <c r="F97" s="35"/>
      <c r="G97" s="35"/>
      <c r="H97" s="35"/>
      <c r="I97" s="34"/>
      <c r="J97" s="35"/>
      <c r="K97" s="35"/>
      <c r="L97" s="39" t="str">
        <f aca="false">IF(A97="","",IF(I97&lt;&gt;"","Vendu","En stock"))</f>
        <v/>
      </c>
      <c r="M97" s="17" t="str">
        <f aca="false">IF(J97="","",J97-F97-G97-K97)</f>
        <v/>
      </c>
      <c r="N97" s="40" t="str">
        <f aca="false">IF(OR(J97="",J97=0),"",M97/J97)</f>
        <v/>
      </c>
      <c r="O97" s="41" t="str">
        <f aca="true">IF(D97="","",IF(I97&lt;&gt;"",I97,TODAY())-D97)</f>
        <v/>
      </c>
    </row>
    <row r="98" customFormat="false" ht="15" hidden="false" customHeight="false" outlineLevel="0" collapsed="false">
      <c r="A98" s="9"/>
      <c r="B98" s="9"/>
      <c r="C98" s="9"/>
      <c r="D98" s="34"/>
      <c r="E98" s="9"/>
      <c r="F98" s="35"/>
      <c r="G98" s="35"/>
      <c r="H98" s="35"/>
      <c r="I98" s="34"/>
      <c r="J98" s="35"/>
      <c r="K98" s="35"/>
      <c r="L98" s="39" t="str">
        <f aca="false">IF(A98="","",IF(I98&lt;&gt;"","Vendu","En stock"))</f>
        <v/>
      </c>
      <c r="M98" s="17" t="str">
        <f aca="false">IF(J98="","",J98-F98-G98-K98)</f>
        <v/>
      </c>
      <c r="N98" s="40" t="str">
        <f aca="false">IF(OR(J98="",J98=0),"",M98/J98)</f>
        <v/>
      </c>
      <c r="O98" s="41" t="str">
        <f aca="true">IF(D98="","",IF(I98&lt;&gt;"",I98,TODAY())-D98)</f>
        <v/>
      </c>
    </row>
    <row r="99" customFormat="false" ht="15" hidden="false" customHeight="false" outlineLevel="0" collapsed="false">
      <c r="A99" s="9"/>
      <c r="B99" s="9"/>
      <c r="C99" s="9"/>
      <c r="D99" s="34"/>
      <c r="E99" s="9"/>
      <c r="F99" s="35"/>
      <c r="G99" s="35"/>
      <c r="H99" s="35"/>
      <c r="I99" s="34"/>
      <c r="J99" s="35"/>
      <c r="K99" s="35"/>
      <c r="L99" s="39" t="str">
        <f aca="false">IF(A99="","",IF(I99&lt;&gt;"","Vendu","En stock"))</f>
        <v/>
      </c>
      <c r="M99" s="17" t="str">
        <f aca="false">IF(J99="","",J99-F99-G99-K99)</f>
        <v/>
      </c>
      <c r="N99" s="40" t="str">
        <f aca="false">IF(OR(J99="",J99=0),"",M99/J99)</f>
        <v/>
      </c>
      <c r="O99" s="41" t="str">
        <f aca="true">IF(D99="","",IF(I99&lt;&gt;"",I99,TODAY())-D99)</f>
        <v/>
      </c>
    </row>
    <row r="100" customFormat="false" ht="15" hidden="false" customHeight="false" outlineLevel="0" collapsed="false">
      <c r="A100" s="9"/>
      <c r="B100" s="9"/>
      <c r="C100" s="9"/>
      <c r="D100" s="34"/>
      <c r="E100" s="9"/>
      <c r="F100" s="35"/>
      <c r="G100" s="35"/>
      <c r="H100" s="35"/>
      <c r="I100" s="34"/>
      <c r="J100" s="35"/>
      <c r="K100" s="35"/>
      <c r="L100" s="39" t="str">
        <f aca="false">IF(A100="","",IF(I100&lt;&gt;"","Vendu","En stock"))</f>
        <v/>
      </c>
      <c r="M100" s="17" t="str">
        <f aca="false">IF(J100="","",J100-F100-G100-K100)</f>
        <v/>
      </c>
      <c r="N100" s="40" t="str">
        <f aca="false">IF(OR(J100="",J100=0),"",M100/J100)</f>
        <v/>
      </c>
      <c r="O100" s="41" t="str">
        <f aca="true">IF(D100="","",IF(I100&lt;&gt;"",I100,TODAY())-D100)</f>
        <v/>
      </c>
    </row>
    <row r="101" customFormat="false" ht="15" hidden="false" customHeight="false" outlineLevel="0" collapsed="false">
      <c r="A101" s="9"/>
      <c r="B101" s="9"/>
      <c r="C101" s="9"/>
      <c r="D101" s="34"/>
      <c r="E101" s="9"/>
      <c r="F101" s="35"/>
      <c r="G101" s="35"/>
      <c r="H101" s="35"/>
      <c r="I101" s="34"/>
      <c r="J101" s="35"/>
      <c r="K101" s="35"/>
      <c r="L101" s="39" t="str">
        <f aca="false">IF(A101="","",IF(I101&lt;&gt;"","Vendu","En stock"))</f>
        <v/>
      </c>
      <c r="M101" s="17" t="str">
        <f aca="false">IF(J101="","",J101-F101-G101-K101)</f>
        <v/>
      </c>
      <c r="N101" s="40" t="str">
        <f aca="false">IF(OR(J101="",J101=0),"",M101/J101)</f>
        <v/>
      </c>
      <c r="O101" s="41" t="str">
        <f aca="true">IF(D101="","",IF(I101&lt;&gt;"",I101,TODAY())-D101)</f>
        <v/>
      </c>
    </row>
    <row r="102" customFormat="false" ht="15" hidden="false" customHeight="false" outlineLevel="0" collapsed="false">
      <c r="A102" s="9"/>
      <c r="B102" s="9"/>
      <c r="C102" s="9"/>
      <c r="D102" s="34"/>
      <c r="E102" s="9"/>
      <c r="F102" s="35"/>
      <c r="G102" s="35"/>
      <c r="H102" s="35"/>
      <c r="I102" s="34"/>
      <c r="J102" s="35"/>
      <c r="K102" s="35"/>
      <c r="L102" s="39" t="str">
        <f aca="false">IF(A102="","",IF(I102&lt;&gt;"","Vendu","En stock"))</f>
        <v/>
      </c>
      <c r="M102" s="17" t="str">
        <f aca="false">IF(J102="","",J102-F102-G102-K102)</f>
        <v/>
      </c>
      <c r="N102" s="40" t="str">
        <f aca="false">IF(OR(J102="",J102=0),"",M102/J102)</f>
        <v/>
      </c>
      <c r="O102" s="41" t="str">
        <f aca="true">IF(D102="","",IF(I102&lt;&gt;"",I102,TODAY())-D102)</f>
        <v/>
      </c>
    </row>
    <row r="103" customFormat="false" ht="15" hidden="false" customHeight="false" outlineLevel="0" collapsed="false">
      <c r="A103" s="9"/>
      <c r="B103" s="9"/>
      <c r="C103" s="9"/>
      <c r="D103" s="34"/>
      <c r="E103" s="9"/>
      <c r="F103" s="35"/>
      <c r="G103" s="35"/>
      <c r="H103" s="35"/>
      <c r="I103" s="34"/>
      <c r="J103" s="35"/>
      <c r="K103" s="35"/>
      <c r="L103" s="39" t="str">
        <f aca="false">IF(A103="","",IF(I103&lt;&gt;"","Vendu","En stock"))</f>
        <v/>
      </c>
      <c r="M103" s="17" t="str">
        <f aca="false">IF(J103="","",J103-F103-G103-K103)</f>
        <v/>
      </c>
      <c r="N103" s="40" t="str">
        <f aca="false">IF(OR(J103="",J103=0),"",M103/J103)</f>
        <v/>
      </c>
      <c r="O103" s="41" t="str">
        <f aca="true">IF(D103="","",IF(I103&lt;&gt;"",I103,TODAY())-D103)</f>
        <v/>
      </c>
    </row>
    <row r="104" customFormat="false" ht="15" hidden="false" customHeight="false" outlineLevel="0" collapsed="false">
      <c r="A104" s="9"/>
      <c r="B104" s="9"/>
      <c r="C104" s="9"/>
      <c r="D104" s="34"/>
      <c r="E104" s="9"/>
      <c r="F104" s="35"/>
      <c r="G104" s="35"/>
      <c r="H104" s="35"/>
      <c r="I104" s="34"/>
      <c r="J104" s="35"/>
      <c r="K104" s="35"/>
      <c r="L104" s="39" t="str">
        <f aca="false">IF(A104="","",IF(I104&lt;&gt;"","Vendu","En stock"))</f>
        <v/>
      </c>
      <c r="M104" s="17" t="str">
        <f aca="false">IF(J104="","",J104-F104-G104-K104)</f>
        <v/>
      </c>
      <c r="N104" s="40" t="str">
        <f aca="false">IF(OR(J104="",J104=0),"",M104/J104)</f>
        <v/>
      </c>
      <c r="O104" s="41" t="str">
        <f aca="true">IF(D104="","",IF(I104&lt;&gt;"",I104,TODAY())-D104)</f>
        <v/>
      </c>
    </row>
    <row r="105" customFormat="false" ht="15" hidden="false" customHeight="false" outlineLevel="0" collapsed="false">
      <c r="A105" s="9"/>
      <c r="B105" s="9"/>
      <c r="C105" s="9"/>
      <c r="D105" s="34"/>
      <c r="E105" s="9"/>
      <c r="F105" s="35"/>
      <c r="G105" s="35"/>
      <c r="H105" s="35"/>
      <c r="I105" s="34"/>
      <c r="J105" s="35"/>
      <c r="K105" s="35"/>
      <c r="L105" s="39" t="str">
        <f aca="false">IF(A105="","",IF(I105&lt;&gt;"","Vendu","En stock"))</f>
        <v/>
      </c>
      <c r="M105" s="17" t="str">
        <f aca="false">IF(J105="","",J105-F105-G105-K105)</f>
        <v/>
      </c>
      <c r="N105" s="40" t="str">
        <f aca="false">IF(OR(J105="",J105=0),"",M105/J105)</f>
        <v/>
      </c>
      <c r="O105" s="41" t="str">
        <f aca="true">IF(D105="","",IF(I105&lt;&gt;"",I105,TODAY())-D105)</f>
        <v/>
      </c>
    </row>
    <row r="106" customFormat="false" ht="15" hidden="false" customHeight="false" outlineLevel="0" collapsed="false">
      <c r="A106" s="9"/>
      <c r="B106" s="9"/>
      <c r="C106" s="9"/>
      <c r="D106" s="34"/>
      <c r="E106" s="9"/>
      <c r="F106" s="35"/>
      <c r="G106" s="35"/>
      <c r="H106" s="35"/>
      <c r="I106" s="34"/>
      <c r="J106" s="35"/>
      <c r="K106" s="35"/>
      <c r="L106" s="39" t="str">
        <f aca="false">IF(A106="","",IF(I106&lt;&gt;"","Vendu","En stock"))</f>
        <v/>
      </c>
      <c r="M106" s="17" t="str">
        <f aca="false">IF(J106="","",J106-F106-G106-K106)</f>
        <v/>
      </c>
      <c r="N106" s="40" t="str">
        <f aca="false">IF(OR(J106="",J106=0),"",M106/J106)</f>
        <v/>
      </c>
      <c r="O106" s="41" t="str">
        <f aca="true">IF(D106="","",IF(I106&lt;&gt;"",I106,TODAY())-D106)</f>
        <v/>
      </c>
    </row>
    <row r="107" customFormat="false" ht="15" hidden="false" customHeight="false" outlineLevel="0" collapsed="false">
      <c r="A107" s="9"/>
      <c r="B107" s="9"/>
      <c r="C107" s="9"/>
      <c r="D107" s="34"/>
      <c r="E107" s="9"/>
      <c r="F107" s="35"/>
      <c r="G107" s="35"/>
      <c r="H107" s="35"/>
      <c r="I107" s="34"/>
      <c r="J107" s="35"/>
      <c r="K107" s="35"/>
      <c r="L107" s="39" t="str">
        <f aca="false">IF(A107="","",IF(I107&lt;&gt;"","Vendu","En stock"))</f>
        <v/>
      </c>
      <c r="M107" s="17" t="str">
        <f aca="false">IF(J107="","",J107-F107-G107-K107)</f>
        <v/>
      </c>
      <c r="N107" s="40" t="str">
        <f aca="false">IF(OR(J107="",J107=0),"",M107/J107)</f>
        <v/>
      </c>
      <c r="O107" s="41" t="str">
        <f aca="true">IF(D107="","",IF(I107&lt;&gt;"",I107,TODAY())-D107)</f>
        <v/>
      </c>
    </row>
    <row r="108" customFormat="false" ht="15" hidden="false" customHeight="false" outlineLevel="0" collapsed="false">
      <c r="A108" s="9"/>
      <c r="B108" s="9"/>
      <c r="C108" s="9"/>
      <c r="D108" s="34"/>
      <c r="E108" s="9"/>
      <c r="F108" s="35"/>
      <c r="G108" s="35"/>
      <c r="H108" s="35"/>
      <c r="I108" s="34"/>
      <c r="J108" s="35"/>
      <c r="K108" s="35"/>
      <c r="L108" s="39" t="str">
        <f aca="false">IF(A108="","",IF(I108&lt;&gt;"","Vendu","En stock"))</f>
        <v/>
      </c>
      <c r="M108" s="17" t="str">
        <f aca="false">IF(J108="","",J108-F108-G108-K108)</f>
        <v/>
      </c>
      <c r="N108" s="40" t="str">
        <f aca="false">IF(OR(J108="",J108=0),"",M108/J108)</f>
        <v/>
      </c>
      <c r="O108" s="41" t="str">
        <f aca="true">IF(D108="","",IF(I108&lt;&gt;"",I108,TODAY())-D108)</f>
        <v/>
      </c>
    </row>
    <row r="109" customFormat="false" ht="15" hidden="false" customHeight="false" outlineLevel="0" collapsed="false">
      <c r="A109" s="9"/>
      <c r="B109" s="9"/>
      <c r="C109" s="9"/>
      <c r="D109" s="34"/>
      <c r="E109" s="9"/>
      <c r="F109" s="35"/>
      <c r="G109" s="35"/>
      <c r="H109" s="35"/>
      <c r="I109" s="34"/>
      <c r="J109" s="35"/>
      <c r="K109" s="35"/>
      <c r="L109" s="39" t="str">
        <f aca="false">IF(A109="","",IF(I109&lt;&gt;"","Vendu","En stock"))</f>
        <v/>
      </c>
      <c r="M109" s="17" t="str">
        <f aca="false">IF(J109="","",J109-F109-G109-K109)</f>
        <v/>
      </c>
      <c r="N109" s="40" t="str">
        <f aca="false">IF(OR(J109="",J109=0),"",M109/J109)</f>
        <v/>
      </c>
      <c r="O109" s="41" t="str">
        <f aca="true">IF(D109="","",IF(I109&lt;&gt;"",I109,TODAY())-D109)</f>
        <v/>
      </c>
    </row>
    <row r="110" customFormat="false" ht="15" hidden="false" customHeight="false" outlineLevel="0" collapsed="false">
      <c r="A110" s="9"/>
      <c r="B110" s="9"/>
      <c r="C110" s="9"/>
      <c r="D110" s="34"/>
      <c r="E110" s="9"/>
      <c r="F110" s="35"/>
      <c r="G110" s="35"/>
      <c r="H110" s="35"/>
      <c r="I110" s="34"/>
      <c r="J110" s="35"/>
      <c r="K110" s="35"/>
      <c r="L110" s="39" t="str">
        <f aca="false">IF(A110="","",IF(I110&lt;&gt;"","Vendu","En stock"))</f>
        <v/>
      </c>
      <c r="M110" s="17" t="str">
        <f aca="false">IF(J110="","",J110-F110-G110-K110)</f>
        <v/>
      </c>
      <c r="N110" s="40" t="str">
        <f aca="false">IF(OR(J110="",J110=0),"",M110/J110)</f>
        <v/>
      </c>
      <c r="O110" s="41" t="str">
        <f aca="true">IF(D110="","",IF(I110&lt;&gt;"",I110,TODAY())-D110)</f>
        <v/>
      </c>
    </row>
    <row r="111" customFormat="false" ht="15" hidden="false" customHeight="false" outlineLevel="0" collapsed="false">
      <c r="A111" s="9"/>
      <c r="B111" s="9"/>
      <c r="C111" s="9"/>
      <c r="D111" s="34"/>
      <c r="E111" s="9"/>
      <c r="F111" s="35"/>
      <c r="G111" s="35"/>
      <c r="H111" s="35"/>
      <c r="I111" s="34"/>
      <c r="J111" s="35"/>
      <c r="K111" s="35"/>
      <c r="L111" s="39" t="str">
        <f aca="false">IF(A111="","",IF(I111&lt;&gt;"","Vendu","En stock"))</f>
        <v/>
      </c>
      <c r="M111" s="17" t="str">
        <f aca="false">IF(J111="","",J111-F111-G111-K111)</f>
        <v/>
      </c>
      <c r="N111" s="40" t="str">
        <f aca="false">IF(OR(J111="",J111=0),"",M111/J111)</f>
        <v/>
      </c>
      <c r="O111" s="41" t="str">
        <f aca="true">IF(D111="","",IF(I111&lt;&gt;"",I111,TODAY())-D111)</f>
        <v/>
      </c>
    </row>
    <row r="112" customFormat="false" ht="15" hidden="false" customHeight="false" outlineLevel="0" collapsed="false">
      <c r="A112" s="9"/>
      <c r="B112" s="9"/>
      <c r="C112" s="9"/>
      <c r="D112" s="34"/>
      <c r="E112" s="9"/>
      <c r="F112" s="35"/>
      <c r="G112" s="35"/>
      <c r="H112" s="35"/>
      <c r="I112" s="34"/>
      <c r="J112" s="35"/>
      <c r="K112" s="35"/>
      <c r="L112" s="39" t="str">
        <f aca="false">IF(A112="","",IF(I112&lt;&gt;"","Vendu","En stock"))</f>
        <v/>
      </c>
      <c r="M112" s="17" t="str">
        <f aca="false">IF(J112="","",J112-F112-G112-K112)</f>
        <v/>
      </c>
      <c r="N112" s="40" t="str">
        <f aca="false">IF(OR(J112="",J112=0),"",M112/J112)</f>
        <v/>
      </c>
      <c r="O112" s="41" t="str">
        <f aca="true">IF(D112="","",IF(I112&lt;&gt;"",I112,TODAY())-D112)</f>
        <v/>
      </c>
    </row>
    <row r="113" customFormat="false" ht="15" hidden="false" customHeight="false" outlineLevel="0" collapsed="false">
      <c r="A113" s="9"/>
      <c r="B113" s="9"/>
      <c r="C113" s="9"/>
      <c r="D113" s="34"/>
      <c r="E113" s="9"/>
      <c r="F113" s="35"/>
      <c r="G113" s="35"/>
      <c r="H113" s="35"/>
      <c r="I113" s="34"/>
      <c r="J113" s="35"/>
      <c r="K113" s="35"/>
      <c r="L113" s="39" t="str">
        <f aca="false">IF(A113="","",IF(I113&lt;&gt;"","Vendu","En stock"))</f>
        <v/>
      </c>
      <c r="M113" s="17" t="str">
        <f aca="false">IF(J113="","",J113-F113-G113-K113)</f>
        <v/>
      </c>
      <c r="N113" s="40" t="str">
        <f aca="false">IF(OR(J113="",J113=0),"",M113/J113)</f>
        <v/>
      </c>
      <c r="O113" s="41" t="str">
        <f aca="true">IF(D113="","",IF(I113&lt;&gt;"",I113,TODAY())-D113)</f>
        <v/>
      </c>
    </row>
    <row r="114" customFormat="false" ht="15" hidden="false" customHeight="false" outlineLevel="0" collapsed="false">
      <c r="A114" s="9"/>
      <c r="B114" s="9"/>
      <c r="C114" s="9"/>
      <c r="D114" s="34"/>
      <c r="E114" s="9"/>
      <c r="F114" s="35"/>
      <c r="G114" s="35"/>
      <c r="H114" s="35"/>
      <c r="I114" s="34"/>
      <c r="J114" s="35"/>
      <c r="K114" s="35"/>
      <c r="L114" s="39" t="str">
        <f aca="false">IF(A114="","",IF(I114&lt;&gt;"","Vendu","En stock"))</f>
        <v/>
      </c>
      <c r="M114" s="17" t="str">
        <f aca="false">IF(J114="","",J114-F114-G114-K114)</f>
        <v/>
      </c>
      <c r="N114" s="40" t="str">
        <f aca="false">IF(OR(J114="",J114=0),"",M114/J114)</f>
        <v/>
      </c>
      <c r="O114" s="41" t="str">
        <f aca="true">IF(D114="","",IF(I114&lt;&gt;"",I114,TODAY())-D114)</f>
        <v/>
      </c>
    </row>
    <row r="115" customFormat="false" ht="15" hidden="false" customHeight="false" outlineLevel="0" collapsed="false">
      <c r="A115" s="9"/>
      <c r="B115" s="9"/>
      <c r="C115" s="9"/>
      <c r="D115" s="34"/>
      <c r="E115" s="9"/>
      <c r="F115" s="35"/>
      <c r="G115" s="35"/>
      <c r="H115" s="35"/>
      <c r="I115" s="34"/>
      <c r="J115" s="35"/>
      <c r="K115" s="35"/>
      <c r="L115" s="39" t="str">
        <f aca="false">IF(A115="","",IF(I115&lt;&gt;"","Vendu","En stock"))</f>
        <v/>
      </c>
      <c r="M115" s="17" t="str">
        <f aca="false">IF(J115="","",J115-F115-G115-K115)</f>
        <v/>
      </c>
      <c r="N115" s="40" t="str">
        <f aca="false">IF(OR(J115="",J115=0),"",M115/J115)</f>
        <v/>
      </c>
      <c r="O115" s="41" t="str">
        <f aca="true">IF(D115="","",IF(I115&lt;&gt;"",I115,TODAY())-D115)</f>
        <v/>
      </c>
    </row>
    <row r="116" customFormat="false" ht="15" hidden="false" customHeight="false" outlineLevel="0" collapsed="false">
      <c r="A116" s="9"/>
      <c r="B116" s="9"/>
      <c r="C116" s="9"/>
      <c r="D116" s="34"/>
      <c r="E116" s="9"/>
      <c r="F116" s="35"/>
      <c r="G116" s="35"/>
      <c r="H116" s="35"/>
      <c r="I116" s="34"/>
      <c r="J116" s="35"/>
      <c r="K116" s="35"/>
      <c r="L116" s="39" t="str">
        <f aca="false">IF(A116="","",IF(I116&lt;&gt;"","Vendu","En stock"))</f>
        <v/>
      </c>
      <c r="M116" s="17" t="str">
        <f aca="false">IF(J116="","",J116-F116-G116-K116)</f>
        <v/>
      </c>
      <c r="N116" s="40" t="str">
        <f aca="false">IF(OR(J116="",J116=0),"",M116/J116)</f>
        <v/>
      </c>
      <c r="O116" s="41" t="str">
        <f aca="true">IF(D116="","",IF(I116&lt;&gt;"",I116,TODAY())-D116)</f>
        <v/>
      </c>
    </row>
    <row r="117" customFormat="false" ht="15" hidden="false" customHeight="false" outlineLevel="0" collapsed="false">
      <c r="A117" s="9"/>
      <c r="B117" s="9"/>
      <c r="C117" s="9"/>
      <c r="D117" s="34"/>
      <c r="E117" s="9"/>
      <c r="F117" s="35"/>
      <c r="G117" s="35"/>
      <c r="H117" s="35"/>
      <c r="I117" s="34"/>
      <c r="J117" s="35"/>
      <c r="K117" s="35"/>
      <c r="L117" s="39" t="str">
        <f aca="false">IF(A117="","",IF(I117&lt;&gt;"","Vendu","En stock"))</f>
        <v/>
      </c>
      <c r="M117" s="17" t="str">
        <f aca="false">IF(J117="","",J117-F117-G117-K117)</f>
        <v/>
      </c>
      <c r="N117" s="40" t="str">
        <f aca="false">IF(OR(J117="",J117=0),"",M117/J117)</f>
        <v/>
      </c>
      <c r="O117" s="41" t="str">
        <f aca="true">IF(D117="","",IF(I117&lt;&gt;"",I117,TODAY())-D117)</f>
        <v/>
      </c>
    </row>
    <row r="118" customFormat="false" ht="15" hidden="false" customHeight="false" outlineLevel="0" collapsed="false">
      <c r="A118" s="9"/>
      <c r="B118" s="9"/>
      <c r="C118" s="9"/>
      <c r="D118" s="34"/>
      <c r="E118" s="9"/>
      <c r="F118" s="35"/>
      <c r="G118" s="35"/>
      <c r="H118" s="35"/>
      <c r="I118" s="34"/>
      <c r="J118" s="35"/>
      <c r="K118" s="35"/>
      <c r="L118" s="39" t="str">
        <f aca="false">IF(A118="","",IF(I118&lt;&gt;"","Vendu","En stock"))</f>
        <v/>
      </c>
      <c r="M118" s="17" t="str">
        <f aca="false">IF(J118="","",J118-F118-G118-K118)</f>
        <v/>
      </c>
      <c r="N118" s="40" t="str">
        <f aca="false">IF(OR(J118="",J118=0),"",M118/J118)</f>
        <v/>
      </c>
      <c r="O118" s="41" t="str">
        <f aca="true">IF(D118="","",IF(I118&lt;&gt;"",I118,TODAY())-D118)</f>
        <v/>
      </c>
    </row>
    <row r="119" customFormat="false" ht="15" hidden="false" customHeight="false" outlineLevel="0" collapsed="false">
      <c r="A119" s="9"/>
      <c r="B119" s="9"/>
      <c r="C119" s="9"/>
      <c r="D119" s="34"/>
      <c r="E119" s="9"/>
      <c r="F119" s="35"/>
      <c r="G119" s="35"/>
      <c r="H119" s="35"/>
      <c r="I119" s="34"/>
      <c r="J119" s="35"/>
      <c r="K119" s="35"/>
      <c r="L119" s="39" t="str">
        <f aca="false">IF(A119="","",IF(I119&lt;&gt;"","Vendu","En stock"))</f>
        <v/>
      </c>
      <c r="M119" s="17" t="str">
        <f aca="false">IF(J119="","",J119-F119-G119-K119)</f>
        <v/>
      </c>
      <c r="N119" s="40" t="str">
        <f aca="false">IF(OR(J119="",J119=0),"",M119/J119)</f>
        <v/>
      </c>
      <c r="O119" s="41" t="str">
        <f aca="true">IF(D119="","",IF(I119&lt;&gt;"",I119,TODAY())-D119)</f>
        <v/>
      </c>
    </row>
    <row r="120" customFormat="false" ht="15" hidden="false" customHeight="false" outlineLevel="0" collapsed="false">
      <c r="A120" s="9"/>
      <c r="B120" s="9"/>
      <c r="C120" s="9"/>
      <c r="D120" s="34"/>
      <c r="E120" s="9"/>
      <c r="F120" s="35"/>
      <c r="G120" s="35"/>
      <c r="H120" s="35"/>
      <c r="I120" s="34"/>
      <c r="J120" s="35"/>
      <c r="K120" s="35"/>
      <c r="L120" s="39" t="str">
        <f aca="false">IF(A120="","",IF(I120&lt;&gt;"","Vendu","En stock"))</f>
        <v/>
      </c>
      <c r="M120" s="17" t="str">
        <f aca="false">IF(J120="","",J120-F120-G120-K120)</f>
        <v/>
      </c>
      <c r="N120" s="40" t="str">
        <f aca="false">IF(OR(J120="",J120=0),"",M120/J120)</f>
        <v/>
      </c>
      <c r="O120" s="41" t="str">
        <f aca="true">IF(D120="","",IF(I120&lt;&gt;"",I120,TODAY())-D120)</f>
        <v/>
      </c>
    </row>
    <row r="121" customFormat="false" ht="15" hidden="false" customHeight="false" outlineLevel="0" collapsed="false">
      <c r="A121" s="9"/>
      <c r="B121" s="9"/>
      <c r="C121" s="9"/>
      <c r="D121" s="34"/>
      <c r="E121" s="9"/>
      <c r="F121" s="35"/>
      <c r="G121" s="35"/>
      <c r="H121" s="35"/>
      <c r="I121" s="34"/>
      <c r="J121" s="35"/>
      <c r="K121" s="35"/>
      <c r="L121" s="39" t="str">
        <f aca="false">IF(A121="","",IF(I121&lt;&gt;"","Vendu","En stock"))</f>
        <v/>
      </c>
      <c r="M121" s="17" t="str">
        <f aca="false">IF(J121="","",J121-F121-G121-K121)</f>
        <v/>
      </c>
      <c r="N121" s="40" t="str">
        <f aca="false">IF(OR(J121="",J121=0),"",M121/J121)</f>
        <v/>
      </c>
      <c r="O121" s="41" t="str">
        <f aca="true">IF(D121="","",IF(I121&lt;&gt;"",I121,TODAY())-D121)</f>
        <v/>
      </c>
    </row>
    <row r="122" customFormat="false" ht="15" hidden="false" customHeight="false" outlineLevel="0" collapsed="false">
      <c r="A122" s="9"/>
      <c r="B122" s="9"/>
      <c r="C122" s="9"/>
      <c r="D122" s="34"/>
      <c r="E122" s="9"/>
      <c r="F122" s="35"/>
      <c r="G122" s="35"/>
      <c r="H122" s="35"/>
      <c r="I122" s="34"/>
      <c r="J122" s="35"/>
      <c r="K122" s="35"/>
      <c r="L122" s="39" t="str">
        <f aca="false">IF(A122="","",IF(I122&lt;&gt;"","Vendu","En stock"))</f>
        <v/>
      </c>
      <c r="M122" s="17" t="str">
        <f aca="false">IF(J122="","",J122-F122-G122-K122)</f>
        <v/>
      </c>
      <c r="N122" s="40" t="str">
        <f aca="false">IF(OR(J122="",J122=0),"",M122/J122)</f>
        <v/>
      </c>
      <c r="O122" s="41" t="str">
        <f aca="true">IF(D122="","",IF(I122&lt;&gt;"",I122,TODAY())-D122)</f>
        <v/>
      </c>
    </row>
    <row r="123" customFormat="false" ht="15" hidden="false" customHeight="false" outlineLevel="0" collapsed="false">
      <c r="A123" s="9"/>
      <c r="B123" s="9"/>
      <c r="C123" s="9"/>
      <c r="D123" s="34"/>
      <c r="E123" s="9"/>
      <c r="F123" s="35"/>
      <c r="G123" s="35"/>
      <c r="H123" s="35"/>
      <c r="I123" s="34"/>
      <c r="J123" s="35"/>
      <c r="K123" s="35"/>
      <c r="L123" s="39" t="str">
        <f aca="false">IF(A123="","",IF(I123&lt;&gt;"","Vendu","En stock"))</f>
        <v/>
      </c>
      <c r="M123" s="17" t="str">
        <f aca="false">IF(J123="","",J123-F123-G123-K123)</f>
        <v/>
      </c>
      <c r="N123" s="40" t="str">
        <f aca="false">IF(OR(J123="",J123=0),"",M123/J123)</f>
        <v/>
      </c>
      <c r="O123" s="41" t="str">
        <f aca="true">IF(D123="","",IF(I123&lt;&gt;"",I123,TODAY())-D123)</f>
        <v/>
      </c>
    </row>
    <row r="124" customFormat="false" ht="15" hidden="false" customHeight="false" outlineLevel="0" collapsed="false">
      <c r="A124" s="9"/>
      <c r="B124" s="9"/>
      <c r="C124" s="9"/>
      <c r="D124" s="34"/>
      <c r="E124" s="9"/>
      <c r="F124" s="35"/>
      <c r="G124" s="35"/>
      <c r="H124" s="35"/>
      <c r="I124" s="34"/>
      <c r="J124" s="35"/>
      <c r="K124" s="35"/>
      <c r="L124" s="39" t="str">
        <f aca="false">IF(A124="","",IF(I124&lt;&gt;"","Vendu","En stock"))</f>
        <v/>
      </c>
      <c r="M124" s="17" t="str">
        <f aca="false">IF(J124="","",J124-F124-G124-K124)</f>
        <v/>
      </c>
      <c r="N124" s="40" t="str">
        <f aca="false">IF(OR(J124="",J124=0),"",M124/J124)</f>
        <v/>
      </c>
      <c r="O124" s="41" t="str">
        <f aca="true">IF(D124="","",IF(I124&lt;&gt;"",I124,TODAY())-D124)</f>
        <v/>
      </c>
    </row>
    <row r="125" customFormat="false" ht="15" hidden="false" customHeight="false" outlineLevel="0" collapsed="false">
      <c r="A125" s="9"/>
      <c r="B125" s="9"/>
      <c r="C125" s="9"/>
      <c r="D125" s="34"/>
      <c r="E125" s="9"/>
      <c r="F125" s="35"/>
      <c r="G125" s="35"/>
      <c r="H125" s="35"/>
      <c r="I125" s="34"/>
      <c r="J125" s="35"/>
      <c r="K125" s="35"/>
      <c r="L125" s="39" t="str">
        <f aca="false">IF(A125="","",IF(I125&lt;&gt;"","Vendu","En stock"))</f>
        <v/>
      </c>
      <c r="M125" s="17" t="str">
        <f aca="false">IF(J125="","",J125-F125-G125-K125)</f>
        <v/>
      </c>
      <c r="N125" s="40" t="str">
        <f aca="false">IF(OR(J125="",J125=0),"",M125/J125)</f>
        <v/>
      </c>
      <c r="O125" s="41" t="str">
        <f aca="true">IF(D125="","",IF(I125&lt;&gt;"",I125,TODAY())-D125)</f>
        <v/>
      </c>
    </row>
    <row r="126" customFormat="false" ht="15" hidden="false" customHeight="false" outlineLevel="0" collapsed="false">
      <c r="A126" s="9"/>
      <c r="B126" s="9"/>
      <c r="C126" s="9"/>
      <c r="D126" s="34"/>
      <c r="E126" s="9"/>
      <c r="F126" s="35"/>
      <c r="G126" s="35"/>
      <c r="H126" s="35"/>
      <c r="I126" s="34"/>
      <c r="J126" s="35"/>
      <c r="K126" s="35"/>
      <c r="L126" s="39" t="str">
        <f aca="false">IF(A126="","",IF(I126&lt;&gt;"","Vendu","En stock"))</f>
        <v/>
      </c>
      <c r="M126" s="17" t="str">
        <f aca="false">IF(J126="","",J126-F126-G126-K126)</f>
        <v/>
      </c>
      <c r="N126" s="40" t="str">
        <f aca="false">IF(OR(J126="",J126=0),"",M126/J126)</f>
        <v/>
      </c>
      <c r="O126" s="41" t="str">
        <f aca="true">IF(D126="","",IF(I126&lt;&gt;"",I126,TODAY())-D126)</f>
        <v/>
      </c>
    </row>
    <row r="127" customFormat="false" ht="15" hidden="false" customHeight="false" outlineLevel="0" collapsed="false">
      <c r="A127" s="9"/>
      <c r="B127" s="9"/>
      <c r="C127" s="9"/>
      <c r="D127" s="34"/>
      <c r="E127" s="9"/>
      <c r="F127" s="35"/>
      <c r="G127" s="35"/>
      <c r="H127" s="35"/>
      <c r="I127" s="34"/>
      <c r="J127" s="35"/>
      <c r="K127" s="35"/>
      <c r="L127" s="39" t="str">
        <f aca="false">IF(A127="","",IF(I127&lt;&gt;"","Vendu","En stock"))</f>
        <v/>
      </c>
      <c r="M127" s="17" t="str">
        <f aca="false">IF(J127="","",J127-F127-G127-K127)</f>
        <v/>
      </c>
      <c r="N127" s="40" t="str">
        <f aca="false">IF(OR(J127="",J127=0),"",M127/J127)</f>
        <v/>
      </c>
      <c r="O127" s="41" t="str">
        <f aca="true">IF(D127="","",IF(I127&lt;&gt;"",I127,TODAY())-D127)</f>
        <v/>
      </c>
    </row>
    <row r="128" customFormat="false" ht="15" hidden="false" customHeight="false" outlineLevel="0" collapsed="false">
      <c r="A128" s="9"/>
      <c r="B128" s="9"/>
      <c r="C128" s="9"/>
      <c r="D128" s="34"/>
      <c r="E128" s="9"/>
      <c r="F128" s="35"/>
      <c r="G128" s="35"/>
      <c r="H128" s="35"/>
      <c r="I128" s="34"/>
      <c r="J128" s="35"/>
      <c r="K128" s="35"/>
      <c r="L128" s="39" t="str">
        <f aca="false">IF(A128="","",IF(I128&lt;&gt;"","Vendu","En stock"))</f>
        <v/>
      </c>
      <c r="M128" s="17" t="str">
        <f aca="false">IF(J128="","",J128-F128-G128-K128)</f>
        <v/>
      </c>
      <c r="N128" s="40" t="str">
        <f aca="false">IF(OR(J128="",J128=0),"",M128/J128)</f>
        <v/>
      </c>
      <c r="O128" s="41" t="str">
        <f aca="true">IF(D128="","",IF(I128&lt;&gt;"",I128,TODAY())-D128)</f>
        <v/>
      </c>
    </row>
    <row r="129" customFormat="false" ht="15" hidden="false" customHeight="false" outlineLevel="0" collapsed="false">
      <c r="A129" s="9"/>
      <c r="B129" s="9"/>
      <c r="C129" s="9"/>
      <c r="D129" s="34"/>
      <c r="E129" s="9"/>
      <c r="F129" s="35"/>
      <c r="G129" s="35"/>
      <c r="H129" s="35"/>
      <c r="I129" s="34"/>
      <c r="J129" s="35"/>
      <c r="K129" s="35"/>
      <c r="L129" s="39" t="str">
        <f aca="false">IF(A129="","",IF(I129&lt;&gt;"","Vendu","En stock"))</f>
        <v/>
      </c>
      <c r="M129" s="17" t="str">
        <f aca="false">IF(J129="","",J129-F129-G129-K129)</f>
        <v/>
      </c>
      <c r="N129" s="40" t="str">
        <f aca="false">IF(OR(J129="",J129=0),"",M129/J129)</f>
        <v/>
      </c>
      <c r="O129" s="41" t="str">
        <f aca="true">IF(D129="","",IF(I129&lt;&gt;"",I129,TODAY())-D129)</f>
        <v/>
      </c>
    </row>
    <row r="130" customFormat="false" ht="15" hidden="false" customHeight="false" outlineLevel="0" collapsed="false">
      <c r="A130" s="9"/>
      <c r="B130" s="9"/>
      <c r="C130" s="9"/>
      <c r="D130" s="34"/>
      <c r="E130" s="9"/>
      <c r="F130" s="35"/>
      <c r="G130" s="35"/>
      <c r="H130" s="35"/>
      <c r="I130" s="34"/>
      <c r="J130" s="35"/>
      <c r="K130" s="35"/>
      <c r="L130" s="39" t="str">
        <f aca="false">IF(A130="","",IF(I130&lt;&gt;"","Vendu","En stock"))</f>
        <v/>
      </c>
      <c r="M130" s="17" t="str">
        <f aca="false">IF(J130="","",J130-F130-G130-K130)</f>
        <v/>
      </c>
      <c r="N130" s="40" t="str">
        <f aca="false">IF(OR(J130="",J130=0),"",M130/J130)</f>
        <v/>
      </c>
      <c r="O130" s="41" t="str">
        <f aca="true">IF(D130="","",IF(I130&lt;&gt;"",I130,TODAY())-D130)</f>
        <v/>
      </c>
    </row>
    <row r="131" customFormat="false" ht="15" hidden="false" customHeight="false" outlineLevel="0" collapsed="false">
      <c r="A131" s="9"/>
      <c r="B131" s="9"/>
      <c r="C131" s="9"/>
      <c r="D131" s="34"/>
      <c r="E131" s="9"/>
      <c r="F131" s="35"/>
      <c r="G131" s="35"/>
      <c r="H131" s="35"/>
      <c r="I131" s="34"/>
      <c r="J131" s="35"/>
      <c r="K131" s="35"/>
      <c r="L131" s="39" t="str">
        <f aca="false">IF(A131="","",IF(I131&lt;&gt;"","Vendu","En stock"))</f>
        <v/>
      </c>
      <c r="M131" s="17" t="str">
        <f aca="false">IF(J131="","",J131-F131-G131-K131)</f>
        <v/>
      </c>
      <c r="N131" s="40" t="str">
        <f aca="false">IF(OR(J131="",J131=0),"",M131/J131)</f>
        <v/>
      </c>
      <c r="O131" s="41" t="str">
        <f aca="true">IF(D131="","",IF(I131&lt;&gt;"",I131,TODAY())-D131)</f>
        <v/>
      </c>
    </row>
    <row r="132" customFormat="false" ht="15" hidden="false" customHeight="false" outlineLevel="0" collapsed="false">
      <c r="A132" s="9"/>
      <c r="B132" s="9"/>
      <c r="C132" s="9"/>
      <c r="D132" s="34"/>
      <c r="E132" s="9"/>
      <c r="F132" s="35"/>
      <c r="G132" s="35"/>
      <c r="H132" s="35"/>
      <c r="I132" s="34"/>
      <c r="J132" s="35"/>
      <c r="K132" s="35"/>
      <c r="L132" s="39" t="str">
        <f aca="false">IF(A132="","",IF(I132&lt;&gt;"","Vendu","En stock"))</f>
        <v/>
      </c>
      <c r="M132" s="17" t="str">
        <f aca="false">IF(J132="","",J132-F132-G132-K132)</f>
        <v/>
      </c>
      <c r="N132" s="40" t="str">
        <f aca="false">IF(OR(J132="",J132=0),"",M132/J132)</f>
        <v/>
      </c>
      <c r="O132" s="41" t="str">
        <f aca="true">IF(D132="","",IF(I132&lt;&gt;"",I132,TODAY())-D132)</f>
        <v/>
      </c>
    </row>
    <row r="133" customFormat="false" ht="15" hidden="false" customHeight="false" outlineLevel="0" collapsed="false">
      <c r="A133" s="9"/>
      <c r="B133" s="9"/>
      <c r="C133" s="9"/>
      <c r="D133" s="34"/>
      <c r="E133" s="9"/>
      <c r="F133" s="35"/>
      <c r="G133" s="35"/>
      <c r="H133" s="35"/>
      <c r="I133" s="34"/>
      <c r="J133" s="35"/>
      <c r="K133" s="35"/>
      <c r="L133" s="39" t="str">
        <f aca="false">IF(A133="","",IF(I133&lt;&gt;"","Vendu","En stock"))</f>
        <v/>
      </c>
      <c r="M133" s="17" t="str">
        <f aca="false">IF(J133="","",J133-F133-G133-K133)</f>
        <v/>
      </c>
      <c r="N133" s="40" t="str">
        <f aca="false">IF(OR(J133="",J133=0),"",M133/J133)</f>
        <v/>
      </c>
      <c r="O133" s="41" t="str">
        <f aca="true">IF(D133="","",IF(I133&lt;&gt;"",I133,TODAY())-D133)</f>
        <v/>
      </c>
    </row>
    <row r="134" customFormat="false" ht="15" hidden="false" customHeight="false" outlineLevel="0" collapsed="false">
      <c r="A134" s="9"/>
      <c r="B134" s="9"/>
      <c r="C134" s="9"/>
      <c r="D134" s="34"/>
      <c r="E134" s="9"/>
      <c r="F134" s="35"/>
      <c r="G134" s="35"/>
      <c r="H134" s="35"/>
      <c r="I134" s="34"/>
      <c r="J134" s="35"/>
      <c r="K134" s="35"/>
      <c r="L134" s="39" t="str">
        <f aca="false">IF(A134="","",IF(I134&lt;&gt;"","Vendu","En stock"))</f>
        <v/>
      </c>
      <c r="M134" s="17" t="str">
        <f aca="false">IF(J134="","",J134-F134-G134-K134)</f>
        <v/>
      </c>
      <c r="N134" s="40" t="str">
        <f aca="false">IF(OR(J134="",J134=0),"",M134/J134)</f>
        <v/>
      </c>
      <c r="O134" s="41" t="str">
        <f aca="true">IF(D134="","",IF(I134&lt;&gt;"",I134,TODAY())-D134)</f>
        <v/>
      </c>
    </row>
    <row r="135" customFormat="false" ht="15" hidden="false" customHeight="false" outlineLevel="0" collapsed="false">
      <c r="A135" s="9"/>
      <c r="B135" s="9"/>
      <c r="C135" s="9"/>
      <c r="D135" s="34"/>
      <c r="E135" s="9"/>
      <c r="F135" s="35"/>
      <c r="G135" s="35"/>
      <c r="H135" s="35"/>
      <c r="I135" s="34"/>
      <c r="J135" s="35"/>
      <c r="K135" s="35"/>
      <c r="L135" s="39" t="str">
        <f aca="false">IF(A135="","",IF(I135&lt;&gt;"","Vendu","En stock"))</f>
        <v/>
      </c>
      <c r="M135" s="17" t="str">
        <f aca="false">IF(J135="","",J135-F135-G135-K135)</f>
        <v/>
      </c>
      <c r="N135" s="40" t="str">
        <f aca="false">IF(OR(J135="",J135=0),"",M135/J135)</f>
        <v/>
      </c>
      <c r="O135" s="41" t="str">
        <f aca="true">IF(D135="","",IF(I135&lt;&gt;"",I135,TODAY())-D135)</f>
        <v/>
      </c>
    </row>
    <row r="136" customFormat="false" ht="15" hidden="false" customHeight="false" outlineLevel="0" collapsed="false">
      <c r="A136" s="9"/>
      <c r="B136" s="9"/>
      <c r="C136" s="9"/>
      <c r="D136" s="34"/>
      <c r="E136" s="9"/>
      <c r="F136" s="35"/>
      <c r="G136" s="35"/>
      <c r="H136" s="35"/>
      <c r="I136" s="34"/>
      <c r="J136" s="35"/>
      <c r="K136" s="35"/>
      <c r="L136" s="39" t="str">
        <f aca="false">IF(A136="","",IF(I136&lt;&gt;"","Vendu","En stock"))</f>
        <v/>
      </c>
      <c r="M136" s="17" t="str">
        <f aca="false">IF(J136="","",J136-F136-G136-K136)</f>
        <v/>
      </c>
      <c r="N136" s="40" t="str">
        <f aca="false">IF(OR(J136="",J136=0),"",M136/J136)</f>
        <v/>
      </c>
      <c r="O136" s="41" t="str">
        <f aca="true">IF(D136="","",IF(I136&lt;&gt;"",I136,TODAY())-D136)</f>
        <v/>
      </c>
    </row>
    <row r="137" customFormat="false" ht="15" hidden="false" customHeight="false" outlineLevel="0" collapsed="false">
      <c r="A137" s="9"/>
      <c r="B137" s="9"/>
      <c r="C137" s="9"/>
      <c r="D137" s="34"/>
      <c r="E137" s="9"/>
      <c r="F137" s="35"/>
      <c r="G137" s="35"/>
      <c r="H137" s="35"/>
      <c r="I137" s="34"/>
      <c r="J137" s="35"/>
      <c r="K137" s="35"/>
      <c r="L137" s="39" t="str">
        <f aca="false">IF(A137="","",IF(I137&lt;&gt;"","Vendu","En stock"))</f>
        <v/>
      </c>
      <c r="M137" s="17" t="str">
        <f aca="false">IF(J137="","",J137-F137-G137-K137)</f>
        <v/>
      </c>
      <c r="N137" s="40" t="str">
        <f aca="false">IF(OR(J137="",J137=0),"",M137/J137)</f>
        <v/>
      </c>
      <c r="O137" s="41" t="str">
        <f aca="true">IF(D137="","",IF(I137&lt;&gt;"",I137,TODAY())-D137)</f>
        <v/>
      </c>
    </row>
    <row r="138" customFormat="false" ht="15" hidden="false" customHeight="false" outlineLevel="0" collapsed="false">
      <c r="A138" s="9"/>
      <c r="B138" s="9"/>
      <c r="C138" s="9"/>
      <c r="D138" s="34"/>
      <c r="E138" s="9"/>
      <c r="F138" s="35"/>
      <c r="G138" s="35"/>
      <c r="H138" s="35"/>
      <c r="I138" s="34"/>
      <c r="J138" s="35"/>
      <c r="K138" s="35"/>
      <c r="L138" s="39" t="str">
        <f aca="false">IF(A138="","",IF(I138&lt;&gt;"","Vendu","En stock"))</f>
        <v/>
      </c>
      <c r="M138" s="17" t="str">
        <f aca="false">IF(J138="","",J138-F138-G138-K138)</f>
        <v/>
      </c>
      <c r="N138" s="40" t="str">
        <f aca="false">IF(OR(J138="",J138=0),"",M138/J138)</f>
        <v/>
      </c>
      <c r="O138" s="41" t="str">
        <f aca="true">IF(D138="","",IF(I138&lt;&gt;"",I138,TODAY())-D138)</f>
        <v/>
      </c>
    </row>
    <row r="139" customFormat="false" ht="15" hidden="false" customHeight="false" outlineLevel="0" collapsed="false">
      <c r="A139" s="9"/>
      <c r="B139" s="9"/>
      <c r="C139" s="9"/>
      <c r="D139" s="34"/>
      <c r="E139" s="9"/>
      <c r="F139" s="35"/>
      <c r="G139" s="35"/>
      <c r="H139" s="35"/>
      <c r="I139" s="34"/>
      <c r="J139" s="35"/>
      <c r="K139" s="35"/>
      <c r="L139" s="39" t="str">
        <f aca="false">IF(A139="","",IF(I139&lt;&gt;"","Vendu","En stock"))</f>
        <v/>
      </c>
      <c r="M139" s="17" t="str">
        <f aca="false">IF(J139="","",J139-F139-G139-K139)</f>
        <v/>
      </c>
      <c r="N139" s="40" t="str">
        <f aca="false">IF(OR(J139="",J139=0),"",M139/J139)</f>
        <v/>
      </c>
      <c r="O139" s="41" t="str">
        <f aca="true">IF(D139="","",IF(I139&lt;&gt;"",I139,TODAY())-D139)</f>
        <v/>
      </c>
    </row>
    <row r="140" customFormat="false" ht="15" hidden="false" customHeight="false" outlineLevel="0" collapsed="false">
      <c r="A140" s="9"/>
      <c r="B140" s="9"/>
      <c r="C140" s="9"/>
      <c r="D140" s="34"/>
      <c r="E140" s="9"/>
      <c r="F140" s="35"/>
      <c r="G140" s="35"/>
      <c r="H140" s="35"/>
      <c r="I140" s="34"/>
      <c r="J140" s="35"/>
      <c r="K140" s="35"/>
      <c r="L140" s="39" t="str">
        <f aca="false">IF(A140="","",IF(I140&lt;&gt;"","Vendu","En stock"))</f>
        <v/>
      </c>
      <c r="M140" s="17" t="str">
        <f aca="false">IF(J140="","",J140-F140-G140-K140)</f>
        <v/>
      </c>
      <c r="N140" s="40" t="str">
        <f aca="false">IF(OR(J140="",J140=0),"",M140/J140)</f>
        <v/>
      </c>
      <c r="O140" s="41" t="str">
        <f aca="true">IF(D140="","",IF(I140&lt;&gt;"",I140,TODAY())-D140)</f>
        <v/>
      </c>
    </row>
    <row r="141" customFormat="false" ht="15" hidden="false" customHeight="false" outlineLevel="0" collapsed="false">
      <c r="A141" s="9"/>
      <c r="B141" s="9"/>
      <c r="C141" s="9"/>
      <c r="D141" s="34"/>
      <c r="E141" s="9"/>
      <c r="F141" s="35"/>
      <c r="G141" s="35"/>
      <c r="H141" s="35"/>
      <c r="I141" s="34"/>
      <c r="J141" s="35"/>
      <c r="K141" s="35"/>
      <c r="L141" s="39" t="str">
        <f aca="false">IF(A141="","",IF(I141&lt;&gt;"","Vendu","En stock"))</f>
        <v/>
      </c>
      <c r="M141" s="17" t="str">
        <f aca="false">IF(J141="","",J141-F141-G141-K141)</f>
        <v/>
      </c>
      <c r="N141" s="40" t="str">
        <f aca="false">IF(OR(J141="",J141=0),"",M141/J141)</f>
        <v/>
      </c>
      <c r="O141" s="41" t="str">
        <f aca="true">IF(D141="","",IF(I141&lt;&gt;"",I141,TODAY())-D141)</f>
        <v/>
      </c>
    </row>
    <row r="142" customFormat="false" ht="15" hidden="false" customHeight="false" outlineLevel="0" collapsed="false">
      <c r="A142" s="9"/>
      <c r="B142" s="9"/>
      <c r="C142" s="9"/>
      <c r="D142" s="34"/>
      <c r="E142" s="9"/>
      <c r="F142" s="35"/>
      <c r="G142" s="35"/>
      <c r="H142" s="35"/>
      <c r="I142" s="34"/>
      <c r="J142" s="35"/>
      <c r="K142" s="35"/>
      <c r="L142" s="39" t="str">
        <f aca="false">IF(A142="","",IF(I142&lt;&gt;"","Vendu","En stock"))</f>
        <v/>
      </c>
      <c r="M142" s="17" t="str">
        <f aca="false">IF(J142="","",J142-F142-G142-K142)</f>
        <v/>
      </c>
      <c r="N142" s="40" t="str">
        <f aca="false">IF(OR(J142="",J142=0),"",M142/J142)</f>
        <v/>
      </c>
      <c r="O142" s="41" t="str">
        <f aca="true">IF(D142="","",IF(I142&lt;&gt;"",I142,TODAY())-D142)</f>
        <v/>
      </c>
    </row>
    <row r="143" customFormat="false" ht="15" hidden="false" customHeight="false" outlineLevel="0" collapsed="false">
      <c r="A143" s="9"/>
      <c r="B143" s="9"/>
      <c r="C143" s="9"/>
      <c r="D143" s="34"/>
      <c r="E143" s="9"/>
      <c r="F143" s="35"/>
      <c r="G143" s="35"/>
      <c r="H143" s="35"/>
      <c r="I143" s="34"/>
      <c r="J143" s="35"/>
      <c r="K143" s="35"/>
      <c r="L143" s="39" t="str">
        <f aca="false">IF(A143="","",IF(I143&lt;&gt;"","Vendu","En stock"))</f>
        <v/>
      </c>
      <c r="M143" s="17" t="str">
        <f aca="false">IF(J143="","",J143-F143-G143-K143)</f>
        <v/>
      </c>
      <c r="N143" s="40" t="str">
        <f aca="false">IF(OR(J143="",J143=0),"",M143/J143)</f>
        <v/>
      </c>
      <c r="O143" s="41" t="str">
        <f aca="true">IF(D143="","",IF(I143&lt;&gt;"",I143,TODAY())-D143)</f>
        <v/>
      </c>
    </row>
    <row r="144" customFormat="false" ht="15" hidden="false" customHeight="false" outlineLevel="0" collapsed="false">
      <c r="A144" s="9"/>
      <c r="B144" s="9"/>
      <c r="C144" s="9"/>
      <c r="D144" s="34"/>
      <c r="E144" s="9"/>
      <c r="F144" s="35"/>
      <c r="G144" s="35"/>
      <c r="H144" s="35"/>
      <c r="I144" s="34"/>
      <c r="J144" s="35"/>
      <c r="K144" s="35"/>
      <c r="L144" s="39" t="str">
        <f aca="false">IF(A144="","",IF(I144&lt;&gt;"","Vendu","En stock"))</f>
        <v/>
      </c>
      <c r="M144" s="17" t="str">
        <f aca="false">IF(J144="","",J144-F144-G144-K144)</f>
        <v/>
      </c>
      <c r="N144" s="40" t="str">
        <f aca="false">IF(OR(J144="",J144=0),"",M144/J144)</f>
        <v/>
      </c>
      <c r="O144" s="41" t="str">
        <f aca="true">IF(D144="","",IF(I144&lt;&gt;"",I144,TODAY())-D144)</f>
        <v/>
      </c>
    </row>
    <row r="145" customFormat="false" ht="15" hidden="false" customHeight="false" outlineLevel="0" collapsed="false">
      <c r="A145" s="9"/>
      <c r="B145" s="9"/>
      <c r="C145" s="9"/>
      <c r="D145" s="34"/>
      <c r="E145" s="9"/>
      <c r="F145" s="35"/>
      <c r="G145" s="35"/>
      <c r="H145" s="35"/>
      <c r="I145" s="34"/>
      <c r="J145" s="35"/>
      <c r="K145" s="35"/>
      <c r="L145" s="39" t="str">
        <f aca="false">IF(A145="","",IF(I145&lt;&gt;"","Vendu","En stock"))</f>
        <v/>
      </c>
      <c r="M145" s="17" t="str">
        <f aca="false">IF(J145="","",J145-F145-G145-K145)</f>
        <v/>
      </c>
      <c r="N145" s="40" t="str">
        <f aca="false">IF(OR(J145="",J145=0),"",M145/J145)</f>
        <v/>
      </c>
      <c r="O145" s="41" t="str">
        <f aca="true">IF(D145="","",IF(I145&lt;&gt;"",I145,TODAY())-D145)</f>
        <v/>
      </c>
    </row>
    <row r="146" customFormat="false" ht="15" hidden="false" customHeight="false" outlineLevel="0" collapsed="false">
      <c r="A146" s="9"/>
      <c r="B146" s="9"/>
      <c r="C146" s="9"/>
      <c r="D146" s="34"/>
      <c r="E146" s="9"/>
      <c r="F146" s="35"/>
      <c r="G146" s="35"/>
      <c r="H146" s="35"/>
      <c r="I146" s="34"/>
      <c r="J146" s="35"/>
      <c r="K146" s="35"/>
      <c r="L146" s="39" t="str">
        <f aca="false">IF(A146="","",IF(I146&lt;&gt;"","Vendu","En stock"))</f>
        <v/>
      </c>
      <c r="M146" s="17" t="str">
        <f aca="false">IF(J146="","",J146-F146-G146-K146)</f>
        <v/>
      </c>
      <c r="N146" s="40" t="str">
        <f aca="false">IF(OR(J146="",J146=0),"",M146/J146)</f>
        <v/>
      </c>
      <c r="O146" s="41" t="str">
        <f aca="true">IF(D146="","",IF(I146&lt;&gt;"",I146,TODAY())-D146)</f>
        <v/>
      </c>
    </row>
    <row r="147" customFormat="false" ht="15" hidden="false" customHeight="false" outlineLevel="0" collapsed="false">
      <c r="A147" s="9"/>
      <c r="B147" s="9"/>
      <c r="C147" s="9"/>
      <c r="D147" s="34"/>
      <c r="E147" s="9"/>
      <c r="F147" s="35"/>
      <c r="G147" s="35"/>
      <c r="H147" s="35"/>
      <c r="I147" s="34"/>
      <c r="J147" s="35"/>
      <c r="K147" s="35"/>
      <c r="L147" s="39" t="str">
        <f aca="false">IF(A147="","",IF(I147&lt;&gt;"","Vendu","En stock"))</f>
        <v/>
      </c>
      <c r="M147" s="17" t="str">
        <f aca="false">IF(J147="","",J147-F147-G147-K147)</f>
        <v/>
      </c>
      <c r="N147" s="40" t="str">
        <f aca="false">IF(OR(J147="",J147=0),"",M147/J147)</f>
        <v/>
      </c>
      <c r="O147" s="41" t="str">
        <f aca="true">IF(D147="","",IF(I147&lt;&gt;"",I147,TODAY())-D147)</f>
        <v/>
      </c>
    </row>
    <row r="148" customFormat="false" ht="15" hidden="false" customHeight="false" outlineLevel="0" collapsed="false">
      <c r="A148" s="9"/>
      <c r="B148" s="9"/>
      <c r="C148" s="9"/>
      <c r="D148" s="34"/>
      <c r="E148" s="9"/>
      <c r="F148" s="35"/>
      <c r="G148" s="35"/>
      <c r="H148" s="35"/>
      <c r="I148" s="34"/>
      <c r="J148" s="35"/>
      <c r="K148" s="35"/>
      <c r="L148" s="39" t="str">
        <f aca="false">IF(A148="","",IF(I148&lt;&gt;"","Vendu","En stock"))</f>
        <v/>
      </c>
      <c r="M148" s="17" t="str">
        <f aca="false">IF(J148="","",J148-F148-G148-K148)</f>
        <v/>
      </c>
      <c r="N148" s="40" t="str">
        <f aca="false">IF(OR(J148="",J148=0),"",M148/J148)</f>
        <v/>
      </c>
      <c r="O148" s="41" t="str">
        <f aca="true">IF(D148="","",IF(I148&lt;&gt;"",I148,TODAY())-D148)</f>
        <v/>
      </c>
    </row>
    <row r="149" customFormat="false" ht="15" hidden="false" customHeight="false" outlineLevel="0" collapsed="false">
      <c r="A149" s="9"/>
      <c r="B149" s="9"/>
      <c r="C149" s="9"/>
      <c r="D149" s="34"/>
      <c r="E149" s="9"/>
      <c r="F149" s="35"/>
      <c r="G149" s="35"/>
      <c r="H149" s="35"/>
      <c r="I149" s="34"/>
      <c r="J149" s="35"/>
      <c r="K149" s="35"/>
      <c r="L149" s="39" t="str">
        <f aca="false">IF(A149="","",IF(I149&lt;&gt;"","Vendu","En stock"))</f>
        <v/>
      </c>
      <c r="M149" s="17" t="str">
        <f aca="false">IF(J149="","",J149-F149-G149-K149)</f>
        <v/>
      </c>
      <c r="N149" s="40" t="str">
        <f aca="false">IF(OR(J149="",J149=0),"",M149/J149)</f>
        <v/>
      </c>
      <c r="O149" s="41" t="str">
        <f aca="true">IF(D149="","",IF(I149&lt;&gt;"",I149,TODAY())-D149)</f>
        <v/>
      </c>
    </row>
    <row r="150" customFormat="false" ht="15" hidden="false" customHeight="false" outlineLevel="0" collapsed="false">
      <c r="A150" s="9"/>
      <c r="B150" s="9"/>
      <c r="C150" s="9"/>
      <c r="D150" s="34"/>
      <c r="E150" s="9"/>
      <c r="F150" s="35"/>
      <c r="G150" s="35"/>
      <c r="H150" s="35"/>
      <c r="I150" s="34"/>
      <c r="J150" s="35"/>
      <c r="K150" s="35"/>
      <c r="L150" s="39" t="str">
        <f aca="false">IF(A150="","",IF(I150&lt;&gt;"","Vendu","En stock"))</f>
        <v/>
      </c>
      <c r="M150" s="17" t="str">
        <f aca="false">IF(J150="","",J150-F150-G150-K150)</f>
        <v/>
      </c>
      <c r="N150" s="40" t="str">
        <f aca="false">IF(OR(J150="",J150=0),"",M150/J150)</f>
        <v/>
      </c>
      <c r="O150" s="41" t="str">
        <f aca="true">IF(D150="","",IF(I150&lt;&gt;"",I150,TODAY())-D150)</f>
        <v/>
      </c>
    </row>
    <row r="151" customFormat="false" ht="15" hidden="false" customHeight="false" outlineLevel="0" collapsed="false">
      <c r="A151" s="9"/>
      <c r="B151" s="9"/>
      <c r="C151" s="9"/>
      <c r="D151" s="34"/>
      <c r="E151" s="9"/>
      <c r="F151" s="35"/>
      <c r="G151" s="35"/>
      <c r="H151" s="35"/>
      <c r="I151" s="34"/>
      <c r="J151" s="35"/>
      <c r="K151" s="35"/>
      <c r="L151" s="39" t="str">
        <f aca="false">IF(A151="","",IF(I151&lt;&gt;"","Vendu","En stock"))</f>
        <v/>
      </c>
      <c r="M151" s="17" t="str">
        <f aca="false">IF(J151="","",J151-F151-G151-K151)</f>
        <v/>
      </c>
      <c r="N151" s="40" t="str">
        <f aca="false">IF(OR(J151="",J151=0),"",M151/J151)</f>
        <v/>
      </c>
      <c r="O151" s="41" t="str">
        <f aca="true">IF(D151="","",IF(I151&lt;&gt;"",I151,TODAY())-D151)</f>
        <v/>
      </c>
    </row>
    <row r="152" customFormat="false" ht="15" hidden="false" customHeight="false" outlineLevel="0" collapsed="false">
      <c r="A152" s="9"/>
      <c r="B152" s="9"/>
      <c r="C152" s="9"/>
      <c r="D152" s="34"/>
      <c r="E152" s="9"/>
      <c r="F152" s="35"/>
      <c r="G152" s="35"/>
      <c r="H152" s="35"/>
      <c r="I152" s="34"/>
      <c r="J152" s="35"/>
      <c r="K152" s="35"/>
      <c r="L152" s="39" t="str">
        <f aca="false">IF(A152="","",IF(I152&lt;&gt;"","Vendu","En stock"))</f>
        <v/>
      </c>
      <c r="M152" s="17" t="str">
        <f aca="false">IF(J152="","",J152-F152-G152-K152)</f>
        <v/>
      </c>
      <c r="N152" s="40" t="str">
        <f aca="false">IF(OR(J152="",J152=0),"",M152/J152)</f>
        <v/>
      </c>
      <c r="O152" s="41" t="str">
        <f aca="true">IF(D152="","",IF(I152&lt;&gt;"",I152,TODAY())-D152)</f>
        <v/>
      </c>
    </row>
    <row r="153" customFormat="false" ht="15" hidden="false" customHeight="false" outlineLevel="0" collapsed="false">
      <c r="A153" s="9"/>
      <c r="B153" s="9"/>
      <c r="C153" s="9"/>
      <c r="D153" s="34"/>
      <c r="E153" s="9"/>
      <c r="F153" s="35"/>
      <c r="G153" s="35"/>
      <c r="H153" s="35"/>
      <c r="I153" s="34"/>
      <c r="J153" s="35"/>
      <c r="K153" s="35"/>
      <c r="L153" s="39" t="str">
        <f aca="false">IF(A153="","",IF(I153&lt;&gt;"","Vendu","En stock"))</f>
        <v/>
      </c>
      <c r="M153" s="17" t="str">
        <f aca="false">IF(J153="","",J153-F153-G153-K153)</f>
        <v/>
      </c>
      <c r="N153" s="40" t="str">
        <f aca="false">IF(OR(J153="",J153=0),"",M153/J153)</f>
        <v/>
      </c>
      <c r="O153" s="41" t="str">
        <f aca="true">IF(D153="","",IF(I153&lt;&gt;"",I153,TODAY())-D153)</f>
        <v/>
      </c>
    </row>
    <row r="154" customFormat="false" ht="15" hidden="false" customHeight="false" outlineLevel="0" collapsed="false">
      <c r="A154" s="9"/>
      <c r="B154" s="9"/>
      <c r="C154" s="9"/>
      <c r="D154" s="34"/>
      <c r="E154" s="9"/>
      <c r="F154" s="35"/>
      <c r="G154" s="35"/>
      <c r="H154" s="35"/>
      <c r="I154" s="34"/>
      <c r="J154" s="35"/>
      <c r="K154" s="35"/>
      <c r="L154" s="39" t="str">
        <f aca="false">IF(A154="","",IF(I154&lt;&gt;"","Vendu","En stock"))</f>
        <v/>
      </c>
      <c r="M154" s="17" t="str">
        <f aca="false">IF(J154="","",J154-F154-G154-K154)</f>
        <v/>
      </c>
      <c r="N154" s="40" t="str">
        <f aca="false">IF(OR(J154="",J154=0),"",M154/J154)</f>
        <v/>
      </c>
      <c r="O154" s="41" t="str">
        <f aca="true">IF(D154="","",IF(I154&lt;&gt;"",I154,TODAY())-D154)</f>
        <v/>
      </c>
    </row>
    <row r="155" customFormat="false" ht="15" hidden="false" customHeight="false" outlineLevel="0" collapsed="false">
      <c r="A155" s="9"/>
      <c r="B155" s="9"/>
      <c r="C155" s="9"/>
      <c r="D155" s="34"/>
      <c r="E155" s="9"/>
      <c r="F155" s="35"/>
      <c r="G155" s="35"/>
      <c r="H155" s="35"/>
      <c r="I155" s="34"/>
      <c r="J155" s="35"/>
      <c r="K155" s="35"/>
      <c r="L155" s="39" t="str">
        <f aca="false">IF(A155="","",IF(I155&lt;&gt;"","Vendu","En stock"))</f>
        <v/>
      </c>
      <c r="M155" s="17" t="str">
        <f aca="false">IF(J155="","",J155-F155-G155-K155)</f>
        <v/>
      </c>
      <c r="N155" s="40" t="str">
        <f aca="false">IF(OR(J155="",J155=0),"",M155/J155)</f>
        <v/>
      </c>
      <c r="O155" s="41" t="str">
        <f aca="true">IF(D155="","",IF(I155&lt;&gt;"",I155,TODAY())-D155)</f>
        <v/>
      </c>
    </row>
    <row r="156" customFormat="false" ht="15" hidden="false" customHeight="false" outlineLevel="0" collapsed="false">
      <c r="A156" s="9"/>
      <c r="B156" s="9"/>
      <c r="C156" s="9"/>
      <c r="D156" s="34"/>
      <c r="E156" s="9"/>
      <c r="F156" s="35"/>
      <c r="G156" s="35"/>
      <c r="H156" s="35"/>
      <c r="I156" s="34"/>
      <c r="J156" s="35"/>
      <c r="K156" s="35"/>
      <c r="L156" s="39" t="str">
        <f aca="false">IF(A156="","",IF(I156&lt;&gt;"","Vendu","En stock"))</f>
        <v/>
      </c>
      <c r="M156" s="17" t="str">
        <f aca="false">IF(J156="","",J156-F156-G156-K156)</f>
        <v/>
      </c>
      <c r="N156" s="40" t="str">
        <f aca="false">IF(OR(J156="",J156=0),"",M156/J156)</f>
        <v/>
      </c>
      <c r="O156" s="41" t="str">
        <f aca="true">IF(D156="","",IF(I156&lt;&gt;"",I156,TODAY())-D156)</f>
        <v/>
      </c>
    </row>
    <row r="157" customFormat="false" ht="15" hidden="false" customHeight="false" outlineLevel="0" collapsed="false">
      <c r="A157" s="9"/>
      <c r="B157" s="9"/>
      <c r="C157" s="9"/>
      <c r="D157" s="34"/>
      <c r="E157" s="9"/>
      <c r="F157" s="35"/>
      <c r="G157" s="35"/>
      <c r="H157" s="35"/>
      <c r="I157" s="34"/>
      <c r="J157" s="35"/>
      <c r="K157" s="35"/>
      <c r="L157" s="39" t="str">
        <f aca="false">IF(A157="","",IF(I157&lt;&gt;"","Vendu","En stock"))</f>
        <v/>
      </c>
      <c r="M157" s="17" t="str">
        <f aca="false">IF(J157="","",J157-F157-G157-K157)</f>
        <v/>
      </c>
      <c r="N157" s="40" t="str">
        <f aca="false">IF(OR(J157="",J157=0),"",M157/J157)</f>
        <v/>
      </c>
      <c r="O157" s="41" t="str">
        <f aca="true">IF(D157="","",IF(I157&lt;&gt;"",I157,TODAY())-D157)</f>
        <v/>
      </c>
    </row>
    <row r="158" customFormat="false" ht="15" hidden="false" customHeight="false" outlineLevel="0" collapsed="false">
      <c r="A158" s="9"/>
      <c r="B158" s="9"/>
      <c r="C158" s="9"/>
      <c r="D158" s="34"/>
      <c r="E158" s="9"/>
      <c r="F158" s="35"/>
      <c r="G158" s="35"/>
      <c r="H158" s="35"/>
      <c r="I158" s="34"/>
      <c r="J158" s="35"/>
      <c r="K158" s="35"/>
      <c r="L158" s="39" t="str">
        <f aca="false">IF(A158="","",IF(I158&lt;&gt;"","Vendu","En stock"))</f>
        <v/>
      </c>
      <c r="M158" s="17" t="str">
        <f aca="false">IF(J158="","",J158-F158-G158-K158)</f>
        <v/>
      </c>
      <c r="N158" s="40" t="str">
        <f aca="false">IF(OR(J158="",J158=0),"",M158/J158)</f>
        <v/>
      </c>
      <c r="O158" s="41" t="str">
        <f aca="true">IF(D158="","",IF(I158&lt;&gt;"",I158,TODAY())-D158)</f>
        <v/>
      </c>
    </row>
    <row r="159" customFormat="false" ht="15" hidden="false" customHeight="false" outlineLevel="0" collapsed="false">
      <c r="A159" s="9"/>
      <c r="B159" s="9"/>
      <c r="C159" s="9"/>
      <c r="D159" s="34"/>
      <c r="E159" s="9"/>
      <c r="F159" s="35"/>
      <c r="G159" s="35"/>
      <c r="H159" s="35"/>
      <c r="I159" s="34"/>
      <c r="J159" s="35"/>
      <c r="K159" s="35"/>
      <c r="L159" s="39" t="str">
        <f aca="false">IF(A159="","",IF(I159&lt;&gt;"","Vendu","En stock"))</f>
        <v/>
      </c>
      <c r="M159" s="17" t="str">
        <f aca="false">IF(J159="","",J159-F159-G159-K159)</f>
        <v/>
      </c>
      <c r="N159" s="40" t="str">
        <f aca="false">IF(OR(J159="",J159=0),"",M159/J159)</f>
        <v/>
      </c>
      <c r="O159" s="41" t="str">
        <f aca="true">IF(D159="","",IF(I159&lt;&gt;"",I159,TODAY())-D159)</f>
        <v/>
      </c>
    </row>
    <row r="160" customFormat="false" ht="15" hidden="false" customHeight="false" outlineLevel="0" collapsed="false">
      <c r="A160" s="9"/>
      <c r="B160" s="9"/>
      <c r="C160" s="9"/>
      <c r="D160" s="34"/>
      <c r="E160" s="9"/>
      <c r="F160" s="35"/>
      <c r="G160" s="35"/>
      <c r="H160" s="35"/>
      <c r="I160" s="34"/>
      <c r="J160" s="35"/>
      <c r="K160" s="35"/>
      <c r="L160" s="39" t="str">
        <f aca="false">IF(A160="","",IF(I160&lt;&gt;"","Vendu","En stock"))</f>
        <v/>
      </c>
      <c r="M160" s="17" t="str">
        <f aca="false">IF(J160="","",J160-F160-G160-K160)</f>
        <v/>
      </c>
      <c r="N160" s="40" t="str">
        <f aca="false">IF(OR(J160="",J160=0),"",M160/J160)</f>
        <v/>
      </c>
      <c r="O160" s="41" t="str">
        <f aca="true">IF(D160="","",IF(I160&lt;&gt;"",I160,TODAY())-D160)</f>
        <v/>
      </c>
    </row>
    <row r="161" customFormat="false" ht="15" hidden="false" customHeight="false" outlineLevel="0" collapsed="false">
      <c r="A161" s="9"/>
      <c r="B161" s="9"/>
      <c r="C161" s="9"/>
      <c r="D161" s="34"/>
      <c r="E161" s="9"/>
      <c r="F161" s="35"/>
      <c r="G161" s="35"/>
      <c r="H161" s="35"/>
      <c r="I161" s="34"/>
      <c r="J161" s="35"/>
      <c r="K161" s="35"/>
      <c r="L161" s="39" t="str">
        <f aca="false">IF(A161="","",IF(I161&lt;&gt;"","Vendu","En stock"))</f>
        <v/>
      </c>
      <c r="M161" s="17" t="str">
        <f aca="false">IF(J161="","",J161-F161-G161-K161)</f>
        <v/>
      </c>
      <c r="N161" s="40" t="str">
        <f aca="false">IF(OR(J161="",J161=0),"",M161/J161)</f>
        <v/>
      </c>
      <c r="O161" s="41" t="str">
        <f aca="true">IF(D161="","",IF(I161&lt;&gt;"",I161,TODAY())-D161)</f>
        <v/>
      </c>
    </row>
    <row r="162" customFormat="false" ht="15" hidden="false" customHeight="false" outlineLevel="0" collapsed="false">
      <c r="A162" s="9"/>
      <c r="B162" s="9"/>
      <c r="C162" s="9"/>
      <c r="D162" s="34"/>
      <c r="E162" s="9"/>
      <c r="F162" s="35"/>
      <c r="G162" s="35"/>
      <c r="H162" s="35"/>
      <c r="I162" s="34"/>
      <c r="J162" s="35"/>
      <c r="K162" s="35"/>
      <c r="L162" s="39" t="str">
        <f aca="false">IF(A162="","",IF(I162&lt;&gt;"","Vendu","En stock"))</f>
        <v/>
      </c>
      <c r="M162" s="17" t="str">
        <f aca="false">IF(J162="","",J162-F162-G162-K162)</f>
        <v/>
      </c>
      <c r="N162" s="40" t="str">
        <f aca="false">IF(OR(J162="",J162=0),"",M162/J162)</f>
        <v/>
      </c>
      <c r="O162" s="41" t="str">
        <f aca="true">IF(D162="","",IF(I162&lt;&gt;"",I162,TODAY())-D162)</f>
        <v/>
      </c>
    </row>
    <row r="163" customFormat="false" ht="15" hidden="false" customHeight="false" outlineLevel="0" collapsed="false">
      <c r="A163" s="9"/>
      <c r="B163" s="9"/>
      <c r="C163" s="9"/>
      <c r="D163" s="34"/>
      <c r="E163" s="9"/>
      <c r="F163" s="35"/>
      <c r="G163" s="35"/>
      <c r="H163" s="35"/>
      <c r="I163" s="34"/>
      <c r="J163" s="35"/>
      <c r="K163" s="35"/>
      <c r="L163" s="39" t="str">
        <f aca="false">IF(A163="","",IF(I163&lt;&gt;"","Vendu","En stock"))</f>
        <v/>
      </c>
      <c r="M163" s="17" t="str">
        <f aca="false">IF(J163="","",J163-F163-G163-K163)</f>
        <v/>
      </c>
      <c r="N163" s="40" t="str">
        <f aca="false">IF(OR(J163="",J163=0),"",M163/J163)</f>
        <v/>
      </c>
      <c r="O163" s="41" t="str">
        <f aca="true">IF(D163="","",IF(I163&lt;&gt;"",I163,TODAY())-D163)</f>
        <v/>
      </c>
    </row>
    <row r="164" customFormat="false" ht="15" hidden="false" customHeight="false" outlineLevel="0" collapsed="false">
      <c r="A164" s="9"/>
      <c r="B164" s="9"/>
      <c r="C164" s="9"/>
      <c r="D164" s="34"/>
      <c r="E164" s="9"/>
      <c r="F164" s="35"/>
      <c r="G164" s="35"/>
      <c r="H164" s="35"/>
      <c r="I164" s="34"/>
      <c r="J164" s="35"/>
      <c r="K164" s="35"/>
      <c r="L164" s="39" t="str">
        <f aca="false">IF(A164="","",IF(I164&lt;&gt;"","Vendu","En stock"))</f>
        <v/>
      </c>
      <c r="M164" s="17" t="str">
        <f aca="false">IF(J164="","",J164-F164-G164-K164)</f>
        <v/>
      </c>
      <c r="N164" s="40" t="str">
        <f aca="false">IF(OR(J164="",J164=0),"",M164/J164)</f>
        <v/>
      </c>
      <c r="O164" s="41" t="str">
        <f aca="true">IF(D164="","",IF(I164&lt;&gt;"",I164,TODAY())-D164)</f>
        <v/>
      </c>
    </row>
    <row r="165" customFormat="false" ht="15" hidden="false" customHeight="false" outlineLevel="0" collapsed="false">
      <c r="A165" s="9"/>
      <c r="B165" s="9"/>
      <c r="C165" s="9"/>
      <c r="D165" s="34"/>
      <c r="E165" s="9"/>
      <c r="F165" s="35"/>
      <c r="G165" s="35"/>
      <c r="H165" s="35"/>
      <c r="I165" s="34"/>
      <c r="J165" s="35"/>
      <c r="K165" s="35"/>
      <c r="L165" s="39" t="str">
        <f aca="false">IF(A165="","",IF(I165&lt;&gt;"","Vendu","En stock"))</f>
        <v/>
      </c>
      <c r="M165" s="17" t="str">
        <f aca="false">IF(J165="","",J165-F165-G165-K165)</f>
        <v/>
      </c>
      <c r="N165" s="40" t="str">
        <f aca="false">IF(OR(J165="",J165=0),"",M165/J165)</f>
        <v/>
      </c>
      <c r="O165" s="41" t="str">
        <f aca="true">IF(D165="","",IF(I165&lt;&gt;"",I165,TODAY())-D165)</f>
        <v/>
      </c>
    </row>
    <row r="166" customFormat="false" ht="15" hidden="false" customHeight="false" outlineLevel="0" collapsed="false">
      <c r="A166" s="9"/>
      <c r="B166" s="9"/>
      <c r="C166" s="9"/>
      <c r="D166" s="34"/>
      <c r="E166" s="9"/>
      <c r="F166" s="35"/>
      <c r="G166" s="35"/>
      <c r="H166" s="35"/>
      <c r="I166" s="34"/>
      <c r="J166" s="35"/>
      <c r="K166" s="35"/>
      <c r="L166" s="39" t="str">
        <f aca="false">IF(A166="","",IF(I166&lt;&gt;"","Vendu","En stock"))</f>
        <v/>
      </c>
      <c r="M166" s="17" t="str">
        <f aca="false">IF(J166="","",J166-F166-G166-K166)</f>
        <v/>
      </c>
      <c r="N166" s="40" t="str">
        <f aca="false">IF(OR(J166="",J166=0),"",M166/J166)</f>
        <v/>
      </c>
      <c r="O166" s="41" t="str">
        <f aca="true">IF(D166="","",IF(I166&lt;&gt;"",I166,TODAY())-D166)</f>
        <v/>
      </c>
    </row>
    <row r="167" customFormat="false" ht="15" hidden="false" customHeight="false" outlineLevel="0" collapsed="false">
      <c r="A167" s="9"/>
      <c r="B167" s="9"/>
      <c r="C167" s="9"/>
      <c r="D167" s="34"/>
      <c r="E167" s="9"/>
      <c r="F167" s="35"/>
      <c r="G167" s="35"/>
      <c r="H167" s="35"/>
      <c r="I167" s="34"/>
      <c r="J167" s="35"/>
      <c r="K167" s="35"/>
      <c r="L167" s="39" t="str">
        <f aca="false">IF(A167="","",IF(I167&lt;&gt;"","Vendu","En stock"))</f>
        <v/>
      </c>
      <c r="M167" s="17" t="str">
        <f aca="false">IF(J167="","",J167-F167-G167-K167)</f>
        <v/>
      </c>
      <c r="N167" s="40" t="str">
        <f aca="false">IF(OR(J167="",J167=0),"",M167/J167)</f>
        <v/>
      </c>
      <c r="O167" s="41" t="str">
        <f aca="true">IF(D167="","",IF(I167&lt;&gt;"",I167,TODAY())-D167)</f>
        <v/>
      </c>
    </row>
    <row r="168" customFormat="false" ht="15" hidden="false" customHeight="false" outlineLevel="0" collapsed="false">
      <c r="A168" s="9"/>
      <c r="B168" s="9"/>
      <c r="C168" s="9"/>
      <c r="D168" s="34"/>
      <c r="E168" s="9"/>
      <c r="F168" s="35"/>
      <c r="G168" s="35"/>
      <c r="H168" s="35"/>
      <c r="I168" s="34"/>
      <c r="J168" s="35"/>
      <c r="K168" s="35"/>
      <c r="L168" s="39" t="str">
        <f aca="false">IF(A168="","",IF(I168&lt;&gt;"","Vendu","En stock"))</f>
        <v/>
      </c>
      <c r="M168" s="17" t="str">
        <f aca="false">IF(J168="","",J168-F168-G168-K168)</f>
        <v/>
      </c>
      <c r="N168" s="40" t="str">
        <f aca="false">IF(OR(J168="",J168=0),"",M168/J168)</f>
        <v/>
      </c>
      <c r="O168" s="41" t="str">
        <f aca="true">IF(D168="","",IF(I168&lt;&gt;"",I168,TODAY())-D168)</f>
        <v/>
      </c>
    </row>
    <row r="169" customFormat="false" ht="15" hidden="false" customHeight="false" outlineLevel="0" collapsed="false">
      <c r="A169" s="9"/>
      <c r="B169" s="9"/>
      <c r="C169" s="9"/>
      <c r="D169" s="34"/>
      <c r="E169" s="9"/>
      <c r="F169" s="35"/>
      <c r="G169" s="35"/>
      <c r="H169" s="35"/>
      <c r="I169" s="34"/>
      <c r="J169" s="35"/>
      <c r="K169" s="35"/>
      <c r="L169" s="39" t="str">
        <f aca="false">IF(A169="","",IF(I169&lt;&gt;"","Vendu","En stock"))</f>
        <v/>
      </c>
      <c r="M169" s="17" t="str">
        <f aca="false">IF(J169="","",J169-F169-G169-K169)</f>
        <v/>
      </c>
      <c r="N169" s="40" t="str">
        <f aca="false">IF(OR(J169="",J169=0),"",M169/J169)</f>
        <v/>
      </c>
      <c r="O169" s="41" t="str">
        <f aca="true">IF(D169="","",IF(I169&lt;&gt;"",I169,TODAY())-D169)</f>
        <v/>
      </c>
    </row>
    <row r="170" customFormat="false" ht="15" hidden="false" customHeight="false" outlineLevel="0" collapsed="false">
      <c r="A170" s="9"/>
      <c r="B170" s="9"/>
      <c r="C170" s="9"/>
      <c r="D170" s="34"/>
      <c r="E170" s="9"/>
      <c r="F170" s="35"/>
      <c r="G170" s="35"/>
      <c r="H170" s="35"/>
      <c r="I170" s="34"/>
      <c r="J170" s="35"/>
      <c r="K170" s="35"/>
      <c r="L170" s="39" t="str">
        <f aca="false">IF(A170="","",IF(I170&lt;&gt;"","Vendu","En stock"))</f>
        <v/>
      </c>
      <c r="M170" s="17" t="str">
        <f aca="false">IF(J170="","",J170-F170-G170-K170)</f>
        <v/>
      </c>
      <c r="N170" s="40" t="str">
        <f aca="false">IF(OR(J170="",J170=0),"",M170/J170)</f>
        <v/>
      </c>
      <c r="O170" s="41" t="str">
        <f aca="true">IF(D170="","",IF(I170&lt;&gt;"",I170,TODAY())-D170)</f>
        <v/>
      </c>
    </row>
    <row r="171" customFormat="false" ht="15" hidden="false" customHeight="false" outlineLevel="0" collapsed="false">
      <c r="A171" s="9"/>
      <c r="B171" s="9"/>
      <c r="C171" s="9"/>
      <c r="D171" s="34"/>
      <c r="E171" s="9"/>
      <c r="F171" s="35"/>
      <c r="G171" s="35"/>
      <c r="H171" s="35"/>
      <c r="I171" s="34"/>
      <c r="J171" s="35"/>
      <c r="K171" s="35"/>
      <c r="L171" s="39" t="str">
        <f aca="false">IF(A171="","",IF(I171&lt;&gt;"","Vendu","En stock"))</f>
        <v/>
      </c>
      <c r="M171" s="17" t="str">
        <f aca="false">IF(J171="","",J171-F171-G171-K171)</f>
        <v/>
      </c>
      <c r="N171" s="40" t="str">
        <f aca="false">IF(OR(J171="",J171=0),"",M171/J171)</f>
        <v/>
      </c>
      <c r="O171" s="41" t="str">
        <f aca="true">IF(D171="","",IF(I171&lt;&gt;"",I171,TODAY())-D171)</f>
        <v/>
      </c>
    </row>
    <row r="172" customFormat="false" ht="15" hidden="false" customHeight="false" outlineLevel="0" collapsed="false">
      <c r="A172" s="9"/>
      <c r="B172" s="9"/>
      <c r="C172" s="9"/>
      <c r="D172" s="34"/>
      <c r="E172" s="9"/>
      <c r="F172" s="35"/>
      <c r="G172" s="35"/>
      <c r="H172" s="35"/>
      <c r="I172" s="34"/>
      <c r="J172" s="35"/>
      <c r="K172" s="35"/>
      <c r="L172" s="39" t="str">
        <f aca="false">IF(A172="","",IF(I172&lt;&gt;"","Vendu","En stock"))</f>
        <v/>
      </c>
      <c r="M172" s="17" t="str">
        <f aca="false">IF(J172="","",J172-F172-G172-K172)</f>
        <v/>
      </c>
      <c r="N172" s="40" t="str">
        <f aca="false">IF(OR(J172="",J172=0),"",M172/J172)</f>
        <v/>
      </c>
      <c r="O172" s="41" t="str">
        <f aca="true">IF(D172="","",IF(I172&lt;&gt;"",I172,TODAY())-D172)</f>
        <v/>
      </c>
    </row>
    <row r="173" customFormat="false" ht="15" hidden="false" customHeight="false" outlineLevel="0" collapsed="false">
      <c r="A173" s="9"/>
      <c r="B173" s="9"/>
      <c r="C173" s="9"/>
      <c r="D173" s="34"/>
      <c r="E173" s="9"/>
      <c r="F173" s="35"/>
      <c r="G173" s="35"/>
      <c r="H173" s="35"/>
      <c r="I173" s="34"/>
      <c r="J173" s="35"/>
      <c r="K173" s="35"/>
      <c r="L173" s="39" t="str">
        <f aca="false">IF(A173="","",IF(I173&lt;&gt;"","Vendu","En stock"))</f>
        <v/>
      </c>
      <c r="M173" s="17" t="str">
        <f aca="false">IF(J173="","",J173-F173-G173-K173)</f>
        <v/>
      </c>
      <c r="N173" s="40" t="str">
        <f aca="false">IF(OR(J173="",J173=0),"",M173/J173)</f>
        <v/>
      </c>
      <c r="O173" s="41" t="str">
        <f aca="true">IF(D173="","",IF(I173&lt;&gt;"",I173,TODAY())-D173)</f>
        <v/>
      </c>
    </row>
    <row r="174" customFormat="false" ht="15" hidden="false" customHeight="false" outlineLevel="0" collapsed="false">
      <c r="A174" s="9"/>
      <c r="B174" s="9"/>
      <c r="C174" s="9"/>
      <c r="D174" s="34"/>
      <c r="E174" s="9"/>
      <c r="F174" s="35"/>
      <c r="G174" s="35"/>
      <c r="H174" s="35"/>
      <c r="I174" s="34"/>
      <c r="J174" s="35"/>
      <c r="K174" s="35"/>
      <c r="L174" s="39" t="str">
        <f aca="false">IF(A174="","",IF(I174&lt;&gt;"","Vendu","En stock"))</f>
        <v/>
      </c>
      <c r="M174" s="17" t="str">
        <f aca="false">IF(J174="","",J174-F174-G174-K174)</f>
        <v/>
      </c>
      <c r="N174" s="40" t="str">
        <f aca="false">IF(OR(J174="",J174=0),"",M174/J174)</f>
        <v/>
      </c>
      <c r="O174" s="41" t="str">
        <f aca="true">IF(D174="","",IF(I174&lt;&gt;"",I174,TODAY())-D174)</f>
        <v/>
      </c>
    </row>
    <row r="175" customFormat="false" ht="15" hidden="false" customHeight="false" outlineLevel="0" collapsed="false">
      <c r="A175" s="9"/>
      <c r="B175" s="9"/>
      <c r="C175" s="9"/>
      <c r="D175" s="34"/>
      <c r="E175" s="9"/>
      <c r="F175" s="35"/>
      <c r="G175" s="35"/>
      <c r="H175" s="35"/>
      <c r="I175" s="34"/>
      <c r="J175" s="35"/>
      <c r="K175" s="35"/>
      <c r="L175" s="39" t="str">
        <f aca="false">IF(A175="","",IF(I175&lt;&gt;"","Vendu","En stock"))</f>
        <v/>
      </c>
      <c r="M175" s="17" t="str">
        <f aca="false">IF(J175="","",J175-F175-G175-K175)</f>
        <v/>
      </c>
      <c r="N175" s="40" t="str">
        <f aca="false">IF(OR(J175="",J175=0),"",M175/J175)</f>
        <v/>
      </c>
      <c r="O175" s="41" t="str">
        <f aca="true">IF(D175="","",IF(I175&lt;&gt;"",I175,TODAY())-D175)</f>
        <v/>
      </c>
    </row>
    <row r="176" customFormat="false" ht="15" hidden="false" customHeight="false" outlineLevel="0" collapsed="false">
      <c r="A176" s="9"/>
      <c r="B176" s="9"/>
      <c r="C176" s="9"/>
      <c r="D176" s="34"/>
      <c r="E176" s="9"/>
      <c r="F176" s="35"/>
      <c r="G176" s="35"/>
      <c r="H176" s="35"/>
      <c r="I176" s="34"/>
      <c r="J176" s="35"/>
      <c r="K176" s="35"/>
      <c r="L176" s="39" t="str">
        <f aca="false">IF(A176="","",IF(I176&lt;&gt;"","Vendu","En stock"))</f>
        <v/>
      </c>
      <c r="M176" s="17" t="str">
        <f aca="false">IF(J176="","",J176-F176-G176-K176)</f>
        <v/>
      </c>
      <c r="N176" s="40" t="str">
        <f aca="false">IF(OR(J176="",J176=0),"",M176/J176)</f>
        <v/>
      </c>
      <c r="O176" s="41" t="str">
        <f aca="true">IF(D176="","",IF(I176&lt;&gt;"",I176,TODAY())-D176)</f>
        <v/>
      </c>
    </row>
    <row r="177" customFormat="false" ht="15" hidden="false" customHeight="false" outlineLevel="0" collapsed="false">
      <c r="A177" s="9"/>
      <c r="B177" s="9"/>
      <c r="C177" s="9"/>
      <c r="D177" s="34"/>
      <c r="E177" s="9"/>
      <c r="F177" s="35"/>
      <c r="G177" s="35"/>
      <c r="H177" s="35"/>
      <c r="I177" s="34"/>
      <c r="J177" s="35"/>
      <c r="K177" s="35"/>
      <c r="L177" s="39" t="str">
        <f aca="false">IF(A177="","",IF(I177&lt;&gt;"","Vendu","En stock"))</f>
        <v/>
      </c>
      <c r="M177" s="17" t="str">
        <f aca="false">IF(J177="","",J177-F177-G177-K177)</f>
        <v/>
      </c>
      <c r="N177" s="40" t="str">
        <f aca="false">IF(OR(J177="",J177=0),"",M177/J177)</f>
        <v/>
      </c>
      <c r="O177" s="41" t="str">
        <f aca="true">IF(D177="","",IF(I177&lt;&gt;"",I177,TODAY())-D177)</f>
        <v/>
      </c>
    </row>
    <row r="178" customFormat="false" ht="15" hidden="false" customHeight="false" outlineLevel="0" collapsed="false">
      <c r="A178" s="9"/>
      <c r="B178" s="9"/>
      <c r="C178" s="9"/>
      <c r="D178" s="34"/>
      <c r="E178" s="9"/>
      <c r="F178" s="35"/>
      <c r="G178" s="35"/>
      <c r="H178" s="35"/>
      <c r="I178" s="34"/>
      <c r="J178" s="35"/>
      <c r="K178" s="35"/>
      <c r="L178" s="39" t="str">
        <f aca="false">IF(A178="","",IF(I178&lt;&gt;"","Vendu","En stock"))</f>
        <v/>
      </c>
      <c r="M178" s="17" t="str">
        <f aca="false">IF(J178="","",J178-F178-G178-K178)</f>
        <v/>
      </c>
      <c r="N178" s="40" t="str">
        <f aca="false">IF(OR(J178="",J178=0),"",M178/J178)</f>
        <v/>
      </c>
      <c r="O178" s="41" t="str">
        <f aca="true">IF(D178="","",IF(I178&lt;&gt;"",I178,TODAY())-D178)</f>
        <v/>
      </c>
    </row>
    <row r="179" customFormat="false" ht="15" hidden="false" customHeight="false" outlineLevel="0" collapsed="false">
      <c r="A179" s="9"/>
      <c r="B179" s="9"/>
      <c r="C179" s="9"/>
      <c r="D179" s="34"/>
      <c r="E179" s="9"/>
      <c r="F179" s="35"/>
      <c r="G179" s="35"/>
      <c r="H179" s="35"/>
      <c r="I179" s="34"/>
      <c r="J179" s="35"/>
      <c r="K179" s="35"/>
      <c r="L179" s="39" t="str">
        <f aca="false">IF(A179="","",IF(I179&lt;&gt;"","Vendu","En stock"))</f>
        <v/>
      </c>
      <c r="M179" s="17" t="str">
        <f aca="false">IF(J179="","",J179-F179-G179-K179)</f>
        <v/>
      </c>
      <c r="N179" s="40" t="str">
        <f aca="false">IF(OR(J179="",J179=0),"",M179/J179)</f>
        <v/>
      </c>
      <c r="O179" s="41" t="str">
        <f aca="true">IF(D179="","",IF(I179&lt;&gt;"",I179,TODAY())-D179)</f>
        <v/>
      </c>
    </row>
    <row r="180" customFormat="false" ht="15" hidden="false" customHeight="false" outlineLevel="0" collapsed="false">
      <c r="A180" s="9"/>
      <c r="B180" s="9"/>
      <c r="C180" s="9"/>
      <c r="D180" s="34"/>
      <c r="E180" s="9"/>
      <c r="F180" s="35"/>
      <c r="G180" s="35"/>
      <c r="H180" s="35"/>
      <c r="I180" s="34"/>
      <c r="J180" s="35"/>
      <c r="K180" s="35"/>
      <c r="L180" s="39" t="str">
        <f aca="false">IF(A180="","",IF(I180&lt;&gt;"","Vendu","En stock"))</f>
        <v/>
      </c>
      <c r="M180" s="17" t="str">
        <f aca="false">IF(J180="","",J180-F180-G180-K180)</f>
        <v/>
      </c>
      <c r="N180" s="40" t="str">
        <f aca="false">IF(OR(J180="",J180=0),"",M180/J180)</f>
        <v/>
      </c>
      <c r="O180" s="41" t="str">
        <f aca="true">IF(D180="","",IF(I180&lt;&gt;"",I180,TODAY())-D180)</f>
        <v/>
      </c>
    </row>
    <row r="181" customFormat="false" ht="15" hidden="false" customHeight="false" outlineLevel="0" collapsed="false">
      <c r="A181" s="9"/>
      <c r="B181" s="9"/>
      <c r="C181" s="9"/>
      <c r="D181" s="34"/>
      <c r="E181" s="9"/>
      <c r="F181" s="35"/>
      <c r="G181" s="35"/>
      <c r="H181" s="35"/>
      <c r="I181" s="34"/>
      <c r="J181" s="35"/>
      <c r="K181" s="35"/>
      <c r="L181" s="39" t="str">
        <f aca="false">IF(A181="","",IF(I181&lt;&gt;"","Vendu","En stock"))</f>
        <v/>
      </c>
      <c r="M181" s="17" t="str">
        <f aca="false">IF(J181="","",J181-F181-G181-K181)</f>
        <v/>
      </c>
      <c r="N181" s="40" t="str">
        <f aca="false">IF(OR(J181="",J181=0),"",M181/J181)</f>
        <v/>
      </c>
      <c r="O181" s="41" t="str">
        <f aca="true">IF(D181="","",IF(I181&lt;&gt;"",I181,TODAY())-D181)</f>
        <v/>
      </c>
    </row>
    <row r="182" customFormat="false" ht="15" hidden="false" customHeight="false" outlineLevel="0" collapsed="false">
      <c r="A182" s="9"/>
      <c r="B182" s="9"/>
      <c r="C182" s="9"/>
      <c r="D182" s="34"/>
      <c r="E182" s="9"/>
      <c r="F182" s="35"/>
      <c r="G182" s="35"/>
      <c r="H182" s="35"/>
      <c r="I182" s="34"/>
      <c r="J182" s="35"/>
      <c r="K182" s="35"/>
      <c r="L182" s="39" t="str">
        <f aca="false">IF(A182="","",IF(I182&lt;&gt;"","Vendu","En stock"))</f>
        <v/>
      </c>
      <c r="M182" s="17" t="str">
        <f aca="false">IF(J182="","",J182-F182-G182-K182)</f>
        <v/>
      </c>
      <c r="N182" s="40" t="str">
        <f aca="false">IF(OR(J182="",J182=0),"",M182/J182)</f>
        <v/>
      </c>
      <c r="O182" s="41" t="str">
        <f aca="true">IF(D182="","",IF(I182&lt;&gt;"",I182,TODAY())-D182)</f>
        <v/>
      </c>
    </row>
    <row r="183" customFormat="false" ht="15" hidden="false" customHeight="false" outlineLevel="0" collapsed="false">
      <c r="A183" s="9"/>
      <c r="B183" s="9"/>
      <c r="C183" s="9"/>
      <c r="D183" s="34"/>
      <c r="E183" s="9"/>
      <c r="F183" s="35"/>
      <c r="G183" s="35"/>
      <c r="H183" s="35"/>
      <c r="I183" s="34"/>
      <c r="J183" s="35"/>
      <c r="K183" s="35"/>
      <c r="L183" s="39" t="str">
        <f aca="false">IF(A183="","",IF(I183&lt;&gt;"","Vendu","En stock"))</f>
        <v/>
      </c>
      <c r="M183" s="17" t="str">
        <f aca="false">IF(J183="","",J183-F183-G183-K183)</f>
        <v/>
      </c>
      <c r="N183" s="40" t="str">
        <f aca="false">IF(OR(J183="",J183=0),"",M183/J183)</f>
        <v/>
      </c>
      <c r="O183" s="41" t="str">
        <f aca="true">IF(D183="","",IF(I183&lt;&gt;"",I183,TODAY())-D183)</f>
        <v/>
      </c>
    </row>
    <row r="184" customFormat="false" ht="15" hidden="false" customHeight="false" outlineLevel="0" collapsed="false">
      <c r="A184" s="9"/>
      <c r="B184" s="9"/>
      <c r="C184" s="9"/>
      <c r="D184" s="34"/>
      <c r="E184" s="9"/>
      <c r="F184" s="35"/>
      <c r="G184" s="35"/>
      <c r="H184" s="35"/>
      <c r="I184" s="34"/>
      <c r="J184" s="35"/>
      <c r="K184" s="35"/>
      <c r="L184" s="39" t="str">
        <f aca="false">IF(A184="","",IF(I184&lt;&gt;"","Vendu","En stock"))</f>
        <v/>
      </c>
      <c r="M184" s="17" t="str">
        <f aca="false">IF(J184="","",J184-F184-G184-K184)</f>
        <v/>
      </c>
      <c r="N184" s="40" t="str">
        <f aca="false">IF(OR(J184="",J184=0),"",M184/J184)</f>
        <v/>
      </c>
      <c r="O184" s="41" t="str">
        <f aca="true">IF(D184="","",IF(I184&lt;&gt;"",I184,TODAY())-D184)</f>
        <v/>
      </c>
    </row>
    <row r="185" customFormat="false" ht="15" hidden="false" customHeight="false" outlineLevel="0" collapsed="false">
      <c r="A185" s="9"/>
      <c r="B185" s="9"/>
      <c r="C185" s="9"/>
      <c r="D185" s="34"/>
      <c r="E185" s="9"/>
      <c r="F185" s="35"/>
      <c r="G185" s="35"/>
      <c r="H185" s="35"/>
      <c r="I185" s="34"/>
      <c r="J185" s="35"/>
      <c r="K185" s="35"/>
      <c r="L185" s="39" t="str">
        <f aca="false">IF(A185="","",IF(I185&lt;&gt;"","Vendu","En stock"))</f>
        <v/>
      </c>
      <c r="M185" s="17" t="str">
        <f aca="false">IF(J185="","",J185-F185-G185-K185)</f>
        <v/>
      </c>
      <c r="N185" s="40" t="str">
        <f aca="false">IF(OR(J185="",J185=0),"",M185/J185)</f>
        <v/>
      </c>
      <c r="O185" s="41" t="str">
        <f aca="true">IF(D185="","",IF(I185&lt;&gt;"",I185,TODAY())-D185)</f>
        <v/>
      </c>
    </row>
    <row r="186" customFormat="false" ht="15" hidden="false" customHeight="false" outlineLevel="0" collapsed="false">
      <c r="A186" s="9"/>
      <c r="B186" s="9"/>
      <c r="C186" s="9"/>
      <c r="D186" s="34"/>
      <c r="E186" s="9"/>
      <c r="F186" s="35"/>
      <c r="G186" s="35"/>
      <c r="H186" s="35"/>
      <c r="I186" s="34"/>
      <c r="J186" s="35"/>
      <c r="K186" s="35"/>
      <c r="L186" s="39" t="str">
        <f aca="false">IF(A186="","",IF(I186&lt;&gt;"","Vendu","En stock"))</f>
        <v/>
      </c>
      <c r="M186" s="17" t="str">
        <f aca="false">IF(J186="","",J186-F186-G186-K186)</f>
        <v/>
      </c>
      <c r="N186" s="40" t="str">
        <f aca="false">IF(OR(J186="",J186=0),"",M186/J186)</f>
        <v/>
      </c>
      <c r="O186" s="41" t="str">
        <f aca="true">IF(D186="","",IF(I186&lt;&gt;"",I186,TODAY())-D186)</f>
        <v/>
      </c>
    </row>
    <row r="187" customFormat="false" ht="15" hidden="false" customHeight="false" outlineLevel="0" collapsed="false">
      <c r="A187" s="9"/>
      <c r="B187" s="9"/>
      <c r="C187" s="9"/>
      <c r="D187" s="34"/>
      <c r="E187" s="9"/>
      <c r="F187" s="35"/>
      <c r="G187" s="35"/>
      <c r="H187" s="35"/>
      <c r="I187" s="34"/>
      <c r="J187" s="35"/>
      <c r="K187" s="35"/>
      <c r="L187" s="39" t="str">
        <f aca="false">IF(A187="","",IF(I187&lt;&gt;"","Vendu","En stock"))</f>
        <v/>
      </c>
      <c r="M187" s="17" t="str">
        <f aca="false">IF(J187="","",J187-F187-G187-K187)</f>
        <v/>
      </c>
      <c r="N187" s="40" t="str">
        <f aca="false">IF(OR(J187="",J187=0),"",M187/J187)</f>
        <v/>
      </c>
      <c r="O187" s="41" t="str">
        <f aca="true">IF(D187="","",IF(I187&lt;&gt;"",I187,TODAY())-D187)</f>
        <v/>
      </c>
    </row>
    <row r="188" customFormat="false" ht="15" hidden="false" customHeight="false" outlineLevel="0" collapsed="false">
      <c r="A188" s="9"/>
      <c r="B188" s="9"/>
      <c r="C188" s="9"/>
      <c r="D188" s="34"/>
      <c r="E188" s="9"/>
      <c r="F188" s="35"/>
      <c r="G188" s="35"/>
      <c r="H188" s="35"/>
      <c r="I188" s="34"/>
      <c r="J188" s="35"/>
      <c r="K188" s="35"/>
      <c r="L188" s="39" t="str">
        <f aca="false">IF(A188="","",IF(I188&lt;&gt;"","Vendu","En stock"))</f>
        <v/>
      </c>
      <c r="M188" s="17" t="str">
        <f aca="false">IF(J188="","",J188-F188-G188-K188)</f>
        <v/>
      </c>
      <c r="N188" s="40" t="str">
        <f aca="false">IF(OR(J188="",J188=0),"",M188/J188)</f>
        <v/>
      </c>
      <c r="O188" s="41" t="str">
        <f aca="true">IF(D188="","",IF(I188&lt;&gt;"",I188,TODAY())-D188)</f>
        <v/>
      </c>
    </row>
    <row r="189" customFormat="false" ht="15" hidden="false" customHeight="false" outlineLevel="0" collapsed="false">
      <c r="A189" s="9"/>
      <c r="B189" s="9"/>
      <c r="C189" s="9"/>
      <c r="D189" s="34"/>
      <c r="E189" s="9"/>
      <c r="F189" s="35"/>
      <c r="G189" s="35"/>
      <c r="H189" s="35"/>
      <c r="I189" s="34"/>
      <c r="J189" s="35"/>
      <c r="K189" s="35"/>
      <c r="L189" s="39" t="str">
        <f aca="false">IF(A189="","",IF(I189&lt;&gt;"","Vendu","En stock"))</f>
        <v/>
      </c>
      <c r="M189" s="17" t="str">
        <f aca="false">IF(J189="","",J189-F189-G189-K189)</f>
        <v/>
      </c>
      <c r="N189" s="40" t="str">
        <f aca="false">IF(OR(J189="",J189=0),"",M189/J189)</f>
        <v/>
      </c>
      <c r="O189" s="41" t="str">
        <f aca="true">IF(D189="","",IF(I189&lt;&gt;"",I189,TODAY())-D189)</f>
        <v/>
      </c>
    </row>
    <row r="190" customFormat="false" ht="15" hidden="false" customHeight="false" outlineLevel="0" collapsed="false">
      <c r="A190" s="9"/>
      <c r="B190" s="9"/>
      <c r="C190" s="9"/>
      <c r="D190" s="34"/>
      <c r="E190" s="9"/>
      <c r="F190" s="35"/>
      <c r="G190" s="35"/>
      <c r="H190" s="35"/>
      <c r="I190" s="34"/>
      <c r="J190" s="35"/>
      <c r="K190" s="35"/>
      <c r="L190" s="39" t="str">
        <f aca="false">IF(A190="","",IF(I190&lt;&gt;"","Vendu","En stock"))</f>
        <v/>
      </c>
      <c r="M190" s="17" t="str">
        <f aca="false">IF(J190="","",J190-F190-G190-K190)</f>
        <v/>
      </c>
      <c r="N190" s="40" t="str">
        <f aca="false">IF(OR(J190="",J190=0),"",M190/J190)</f>
        <v/>
      </c>
      <c r="O190" s="41" t="str">
        <f aca="true">IF(D190="","",IF(I190&lt;&gt;"",I190,TODAY())-D190)</f>
        <v/>
      </c>
    </row>
    <row r="191" customFormat="false" ht="15" hidden="false" customHeight="false" outlineLevel="0" collapsed="false">
      <c r="A191" s="9"/>
      <c r="B191" s="9"/>
      <c r="C191" s="9"/>
      <c r="D191" s="34"/>
      <c r="E191" s="9"/>
      <c r="F191" s="35"/>
      <c r="G191" s="35"/>
      <c r="H191" s="35"/>
      <c r="I191" s="34"/>
      <c r="J191" s="35"/>
      <c r="K191" s="35"/>
      <c r="L191" s="39" t="str">
        <f aca="false">IF(A191="","",IF(I191&lt;&gt;"","Vendu","En stock"))</f>
        <v/>
      </c>
      <c r="M191" s="17" t="str">
        <f aca="false">IF(J191="","",J191-F191-G191-K191)</f>
        <v/>
      </c>
      <c r="N191" s="40" t="str">
        <f aca="false">IF(OR(J191="",J191=0),"",M191/J191)</f>
        <v/>
      </c>
      <c r="O191" s="41" t="str">
        <f aca="true">IF(D191="","",IF(I191&lt;&gt;"",I191,TODAY())-D191)</f>
        <v/>
      </c>
    </row>
    <row r="192" customFormat="false" ht="15" hidden="false" customHeight="false" outlineLevel="0" collapsed="false">
      <c r="A192" s="9"/>
      <c r="B192" s="9"/>
      <c r="C192" s="9"/>
      <c r="D192" s="34"/>
      <c r="E192" s="9"/>
      <c r="F192" s="35"/>
      <c r="G192" s="35"/>
      <c r="H192" s="35"/>
      <c r="I192" s="34"/>
      <c r="J192" s="35"/>
      <c r="K192" s="35"/>
      <c r="L192" s="39" t="str">
        <f aca="false">IF(A192="","",IF(I192&lt;&gt;"","Vendu","En stock"))</f>
        <v/>
      </c>
      <c r="M192" s="17" t="str">
        <f aca="false">IF(J192="","",J192-F192-G192-K192)</f>
        <v/>
      </c>
      <c r="N192" s="40" t="str">
        <f aca="false">IF(OR(J192="",J192=0),"",M192/J192)</f>
        <v/>
      </c>
      <c r="O192" s="41" t="str">
        <f aca="true">IF(D192="","",IF(I192&lt;&gt;"",I192,TODAY())-D192)</f>
        <v/>
      </c>
    </row>
    <row r="193" customFormat="false" ht="15" hidden="false" customHeight="false" outlineLevel="0" collapsed="false">
      <c r="A193" s="9"/>
      <c r="B193" s="9"/>
      <c r="C193" s="9"/>
      <c r="D193" s="34"/>
      <c r="E193" s="9"/>
      <c r="F193" s="35"/>
      <c r="G193" s="35"/>
      <c r="H193" s="35"/>
      <c r="I193" s="34"/>
      <c r="J193" s="35"/>
      <c r="K193" s="35"/>
      <c r="L193" s="39" t="str">
        <f aca="false">IF(A193="","",IF(I193&lt;&gt;"","Vendu","En stock"))</f>
        <v/>
      </c>
      <c r="M193" s="17" t="str">
        <f aca="false">IF(J193="","",J193-F193-G193-K193)</f>
        <v/>
      </c>
      <c r="N193" s="40" t="str">
        <f aca="false">IF(OR(J193="",J193=0),"",M193/J193)</f>
        <v/>
      </c>
      <c r="O193" s="41" t="str">
        <f aca="true">IF(D193="","",IF(I193&lt;&gt;"",I193,TODAY())-D193)</f>
        <v/>
      </c>
    </row>
    <row r="194" customFormat="false" ht="15" hidden="false" customHeight="false" outlineLevel="0" collapsed="false">
      <c r="A194" s="9"/>
      <c r="B194" s="9"/>
      <c r="C194" s="9"/>
      <c r="D194" s="34"/>
      <c r="E194" s="9"/>
      <c r="F194" s="35"/>
      <c r="G194" s="35"/>
      <c r="H194" s="35"/>
      <c r="I194" s="34"/>
      <c r="J194" s="35"/>
      <c r="K194" s="35"/>
      <c r="L194" s="39" t="str">
        <f aca="false">IF(A194="","",IF(I194&lt;&gt;"","Vendu","En stock"))</f>
        <v/>
      </c>
      <c r="M194" s="17" t="str">
        <f aca="false">IF(J194="","",J194-F194-G194-K194)</f>
        <v/>
      </c>
      <c r="N194" s="40" t="str">
        <f aca="false">IF(OR(J194="",J194=0),"",M194/J194)</f>
        <v/>
      </c>
      <c r="O194" s="41" t="str">
        <f aca="true">IF(D194="","",IF(I194&lt;&gt;"",I194,TODAY())-D194)</f>
        <v/>
      </c>
    </row>
    <row r="195" customFormat="false" ht="15" hidden="false" customHeight="false" outlineLevel="0" collapsed="false">
      <c r="A195" s="9"/>
      <c r="B195" s="9"/>
      <c r="C195" s="9"/>
      <c r="D195" s="34"/>
      <c r="E195" s="9"/>
      <c r="F195" s="35"/>
      <c r="G195" s="35"/>
      <c r="H195" s="35"/>
      <c r="I195" s="34"/>
      <c r="J195" s="35"/>
      <c r="K195" s="35"/>
      <c r="L195" s="39" t="str">
        <f aca="false">IF(A195="","",IF(I195&lt;&gt;"","Vendu","En stock"))</f>
        <v/>
      </c>
      <c r="M195" s="17" t="str">
        <f aca="false">IF(J195="","",J195-F195-G195-K195)</f>
        <v/>
      </c>
      <c r="N195" s="40" t="str">
        <f aca="false">IF(OR(J195="",J195=0),"",M195/J195)</f>
        <v/>
      </c>
      <c r="O195" s="41" t="str">
        <f aca="true">IF(D195="","",IF(I195&lt;&gt;"",I195,TODAY())-D195)</f>
        <v/>
      </c>
    </row>
    <row r="196" customFormat="false" ht="15" hidden="false" customHeight="false" outlineLevel="0" collapsed="false">
      <c r="A196" s="9"/>
      <c r="B196" s="9"/>
      <c r="C196" s="9"/>
      <c r="D196" s="34"/>
      <c r="E196" s="9"/>
      <c r="F196" s="35"/>
      <c r="G196" s="35"/>
      <c r="H196" s="35"/>
      <c r="I196" s="34"/>
      <c r="J196" s="35"/>
      <c r="K196" s="35"/>
      <c r="L196" s="39" t="str">
        <f aca="false">IF(A196="","",IF(I196&lt;&gt;"","Vendu","En stock"))</f>
        <v/>
      </c>
      <c r="M196" s="17" t="str">
        <f aca="false">IF(J196="","",J196-F196-G196-K196)</f>
        <v/>
      </c>
      <c r="N196" s="40" t="str">
        <f aca="false">IF(OR(J196="",J196=0),"",M196/J196)</f>
        <v/>
      </c>
      <c r="O196" s="41" t="str">
        <f aca="true">IF(D196="","",IF(I196&lt;&gt;"",I196,TODAY())-D196)</f>
        <v/>
      </c>
    </row>
    <row r="197" customFormat="false" ht="15" hidden="false" customHeight="false" outlineLevel="0" collapsed="false">
      <c r="A197" s="9"/>
      <c r="B197" s="9"/>
      <c r="C197" s="9"/>
      <c r="D197" s="34"/>
      <c r="E197" s="9"/>
      <c r="F197" s="35"/>
      <c r="G197" s="35"/>
      <c r="H197" s="35"/>
      <c r="I197" s="34"/>
      <c r="J197" s="35"/>
      <c r="K197" s="35"/>
      <c r="L197" s="39" t="str">
        <f aca="false">IF(A197="","",IF(I197&lt;&gt;"","Vendu","En stock"))</f>
        <v/>
      </c>
      <c r="M197" s="17" t="str">
        <f aca="false">IF(J197="","",J197-F197-G197-K197)</f>
        <v/>
      </c>
      <c r="N197" s="40" t="str">
        <f aca="false">IF(OR(J197="",J197=0),"",M197/J197)</f>
        <v/>
      </c>
      <c r="O197" s="41" t="str">
        <f aca="true">IF(D197="","",IF(I197&lt;&gt;"",I197,TODAY())-D197)</f>
        <v/>
      </c>
    </row>
    <row r="198" customFormat="false" ht="15" hidden="false" customHeight="false" outlineLevel="0" collapsed="false">
      <c r="A198" s="9"/>
      <c r="B198" s="9"/>
      <c r="C198" s="9"/>
      <c r="D198" s="34"/>
      <c r="E198" s="9"/>
      <c r="F198" s="35"/>
      <c r="G198" s="35"/>
      <c r="H198" s="35"/>
      <c r="I198" s="34"/>
      <c r="J198" s="35"/>
      <c r="K198" s="35"/>
      <c r="L198" s="39" t="str">
        <f aca="false">IF(A198="","",IF(I198&lt;&gt;"","Vendu","En stock"))</f>
        <v/>
      </c>
      <c r="M198" s="17" t="str">
        <f aca="false">IF(J198="","",J198-F198-G198-K198)</f>
        <v/>
      </c>
      <c r="N198" s="40" t="str">
        <f aca="false">IF(OR(J198="",J198=0),"",M198/J198)</f>
        <v/>
      </c>
      <c r="O198" s="41" t="str">
        <f aca="true">IF(D198="","",IF(I198&lt;&gt;"",I198,TODAY())-D198)</f>
        <v/>
      </c>
    </row>
    <row r="199" customFormat="false" ht="15" hidden="false" customHeight="false" outlineLevel="0" collapsed="false">
      <c r="A199" s="9"/>
      <c r="B199" s="9"/>
      <c r="C199" s="9"/>
      <c r="D199" s="34"/>
      <c r="E199" s="9"/>
      <c r="F199" s="35"/>
      <c r="G199" s="35"/>
      <c r="H199" s="35"/>
      <c r="I199" s="34"/>
      <c r="J199" s="35"/>
      <c r="K199" s="35"/>
      <c r="L199" s="39" t="str">
        <f aca="false">IF(A199="","",IF(I199&lt;&gt;"","Vendu","En stock"))</f>
        <v/>
      </c>
      <c r="M199" s="17" t="str">
        <f aca="false">IF(J199="","",J199-F199-G199-K199)</f>
        <v/>
      </c>
      <c r="N199" s="40" t="str">
        <f aca="false">IF(OR(J199="",J199=0),"",M199/J199)</f>
        <v/>
      </c>
      <c r="O199" s="41" t="str">
        <f aca="true">IF(D199="","",IF(I199&lt;&gt;"",I199,TODAY())-D199)</f>
        <v/>
      </c>
    </row>
    <row r="200" customFormat="false" ht="15" hidden="false" customHeight="false" outlineLevel="0" collapsed="false">
      <c r="A200" s="9"/>
      <c r="B200" s="9"/>
      <c r="C200" s="9"/>
      <c r="D200" s="34"/>
      <c r="E200" s="9"/>
      <c r="F200" s="35"/>
      <c r="G200" s="35"/>
      <c r="H200" s="35"/>
      <c r="I200" s="34"/>
      <c r="J200" s="35"/>
      <c r="K200" s="35"/>
      <c r="L200" s="39" t="str">
        <f aca="false">IF(A200="","",IF(I200&lt;&gt;"","Vendu","En stock"))</f>
        <v/>
      </c>
      <c r="M200" s="17" t="str">
        <f aca="false">IF(J200="","",J200-F200-G200-K200)</f>
        <v/>
      </c>
      <c r="N200" s="40" t="str">
        <f aca="false">IF(OR(J200="",J200=0),"",M200/J200)</f>
        <v/>
      </c>
      <c r="O200" s="41" t="str">
        <f aca="true">IF(D200="","",IF(I200&lt;&gt;"",I200,TODAY())-D200)</f>
        <v/>
      </c>
    </row>
    <row r="201" customFormat="false" ht="15" hidden="false" customHeight="false" outlineLevel="0" collapsed="false">
      <c r="A201" s="9"/>
      <c r="B201" s="9"/>
      <c r="C201" s="9"/>
      <c r="D201" s="34"/>
      <c r="E201" s="9"/>
      <c r="F201" s="35"/>
      <c r="G201" s="35"/>
      <c r="H201" s="35"/>
      <c r="I201" s="34"/>
      <c r="J201" s="35"/>
      <c r="K201" s="35"/>
      <c r="L201" s="39" t="str">
        <f aca="false">IF(A201="","",IF(I201&lt;&gt;"","Vendu","En stock"))</f>
        <v/>
      </c>
      <c r="M201" s="17" t="str">
        <f aca="false">IF(J201="","",J201-F201-G201-K201)</f>
        <v/>
      </c>
      <c r="N201" s="40" t="str">
        <f aca="false">IF(OR(J201="",J201=0),"",M201/J201)</f>
        <v/>
      </c>
      <c r="O201" s="41" t="str">
        <f aca="true">IF(D201="","",IF(I201&lt;&gt;"",I201,TODAY())-D201)</f>
        <v/>
      </c>
    </row>
    <row r="202" customFormat="false" ht="15" hidden="false" customHeight="false" outlineLevel="0" collapsed="false">
      <c r="A202" s="9"/>
      <c r="B202" s="9"/>
      <c r="C202" s="9"/>
      <c r="D202" s="34"/>
      <c r="E202" s="9"/>
      <c r="F202" s="35"/>
      <c r="G202" s="35"/>
      <c r="H202" s="35"/>
      <c r="I202" s="34"/>
      <c r="J202" s="35"/>
      <c r="K202" s="35"/>
      <c r="L202" s="39" t="str">
        <f aca="false">IF(A202="","",IF(I202&lt;&gt;"","Vendu","En stock"))</f>
        <v/>
      </c>
      <c r="M202" s="17" t="str">
        <f aca="false">IF(J202="","",J202-F202-G202-K202)</f>
        <v/>
      </c>
      <c r="N202" s="40" t="str">
        <f aca="false">IF(OR(J202="",J202=0),"",M202/J202)</f>
        <v/>
      </c>
      <c r="O202" s="41" t="str">
        <f aca="true">IF(D202="","",IF(I202&lt;&gt;"",I202,TODAY())-D202)</f>
        <v/>
      </c>
    </row>
    <row r="203" customFormat="false" ht="15" hidden="false" customHeight="false" outlineLevel="0" collapsed="false">
      <c r="A203" s="9"/>
      <c r="B203" s="9"/>
      <c r="C203" s="9"/>
      <c r="D203" s="34"/>
      <c r="E203" s="9"/>
      <c r="F203" s="35"/>
      <c r="G203" s="35"/>
      <c r="H203" s="35"/>
      <c r="I203" s="34"/>
      <c r="J203" s="35"/>
      <c r="K203" s="35"/>
      <c r="L203" s="39" t="str">
        <f aca="false">IF(A203="","",IF(I203&lt;&gt;"","Vendu","En stock"))</f>
        <v/>
      </c>
      <c r="M203" s="17" t="str">
        <f aca="false">IF(J203="","",J203-F203-G203-K203)</f>
        <v/>
      </c>
      <c r="N203" s="40" t="str">
        <f aca="false">IF(OR(J203="",J203=0),"",M203/J203)</f>
        <v/>
      </c>
      <c r="O203" s="41" t="str">
        <f aca="true">IF(D203="","",IF(I203&lt;&gt;"",I203,TODAY())-D203)</f>
        <v/>
      </c>
    </row>
    <row r="204" customFormat="false" ht="15" hidden="false" customHeight="false" outlineLevel="0" collapsed="false">
      <c r="A204" s="9"/>
      <c r="B204" s="9"/>
      <c r="C204" s="9"/>
      <c r="D204" s="34"/>
      <c r="E204" s="9"/>
      <c r="F204" s="35"/>
      <c r="G204" s="35"/>
      <c r="H204" s="35"/>
      <c r="I204" s="34"/>
      <c r="J204" s="35"/>
      <c r="K204" s="35"/>
      <c r="L204" s="39" t="str">
        <f aca="false">IF(A204="","",IF(I204&lt;&gt;"","Vendu","En stock"))</f>
        <v/>
      </c>
      <c r="M204" s="17" t="str">
        <f aca="false">IF(J204="","",J204-F204-G204-K204)</f>
        <v/>
      </c>
      <c r="N204" s="40" t="str">
        <f aca="false">IF(OR(J204="",J204=0),"",M204/J204)</f>
        <v/>
      </c>
      <c r="O204" s="41" t="str">
        <f aca="true">IF(D204="","",IF(I204&lt;&gt;"",I204,TODAY())-D204)</f>
        <v/>
      </c>
    </row>
    <row r="205" customFormat="false" ht="15" hidden="false" customHeight="false" outlineLevel="0" collapsed="false">
      <c r="A205" s="9"/>
      <c r="B205" s="9"/>
      <c r="C205" s="9"/>
      <c r="D205" s="34"/>
      <c r="E205" s="9"/>
      <c r="F205" s="35"/>
      <c r="G205" s="35"/>
      <c r="H205" s="35"/>
      <c r="I205" s="34"/>
      <c r="J205" s="35"/>
      <c r="K205" s="35"/>
      <c r="L205" s="39" t="str">
        <f aca="false">IF(A205="","",IF(I205&lt;&gt;"","Vendu","En stock"))</f>
        <v/>
      </c>
      <c r="M205" s="17" t="str">
        <f aca="false">IF(J205="","",J205-F205-G205-K205)</f>
        <v/>
      </c>
      <c r="N205" s="40" t="str">
        <f aca="false">IF(OR(J205="",J205=0),"",M205/J205)</f>
        <v/>
      </c>
      <c r="O205" s="41" t="str">
        <f aca="true">IF(D205="","",IF(I205&lt;&gt;"",I205,TODAY())-D205)</f>
        <v/>
      </c>
    </row>
    <row r="206" customFormat="false" ht="15" hidden="false" customHeight="false" outlineLevel="0" collapsed="false">
      <c r="A206" s="9"/>
      <c r="B206" s="9"/>
      <c r="C206" s="9"/>
      <c r="D206" s="34"/>
      <c r="E206" s="9"/>
      <c r="F206" s="35"/>
      <c r="G206" s="35"/>
      <c r="H206" s="35"/>
      <c r="I206" s="34"/>
      <c r="J206" s="35"/>
      <c r="K206" s="35"/>
      <c r="L206" s="39" t="str">
        <f aca="false">IF(A206="","",IF(I206&lt;&gt;"","Vendu","En stock"))</f>
        <v/>
      </c>
      <c r="M206" s="17" t="str">
        <f aca="false">IF(J206="","",J206-F206-G206-K206)</f>
        <v/>
      </c>
      <c r="N206" s="40" t="str">
        <f aca="false">IF(OR(J206="",J206=0),"",M206/J206)</f>
        <v/>
      </c>
      <c r="O206" s="41" t="str">
        <f aca="true">IF(D206="","",IF(I206&lt;&gt;"",I206,TODAY())-D206)</f>
        <v/>
      </c>
    </row>
    <row r="207" customFormat="false" ht="15" hidden="false" customHeight="false" outlineLevel="0" collapsed="false">
      <c r="A207" s="9"/>
      <c r="B207" s="9"/>
      <c r="C207" s="9"/>
      <c r="D207" s="34"/>
      <c r="E207" s="9"/>
      <c r="F207" s="35"/>
      <c r="G207" s="35"/>
      <c r="H207" s="35"/>
      <c r="I207" s="34"/>
      <c r="J207" s="35"/>
      <c r="K207" s="35"/>
      <c r="L207" s="39" t="str">
        <f aca="false">IF(A207="","",IF(I207&lt;&gt;"","Vendu","En stock"))</f>
        <v/>
      </c>
      <c r="M207" s="17" t="str">
        <f aca="false">IF(J207="","",J207-F207-G207-K207)</f>
        <v/>
      </c>
      <c r="N207" s="40" t="str">
        <f aca="false">IF(OR(J207="",J207=0),"",M207/J207)</f>
        <v/>
      </c>
      <c r="O207" s="41" t="str">
        <f aca="true">IF(D207="","",IF(I207&lt;&gt;"",I207,TODAY())-D207)</f>
        <v/>
      </c>
    </row>
    <row r="208" customFormat="false" ht="15" hidden="false" customHeight="false" outlineLevel="0" collapsed="false">
      <c r="A208" s="9"/>
      <c r="B208" s="9"/>
      <c r="C208" s="9"/>
      <c r="D208" s="34"/>
      <c r="E208" s="9"/>
      <c r="F208" s="35"/>
      <c r="G208" s="35"/>
      <c r="H208" s="35"/>
      <c r="I208" s="34"/>
      <c r="J208" s="35"/>
      <c r="K208" s="35"/>
      <c r="L208" s="39" t="str">
        <f aca="false">IF(A208="","",IF(I208&lt;&gt;"","Vendu","En stock"))</f>
        <v/>
      </c>
      <c r="M208" s="17" t="str">
        <f aca="false">IF(J208="","",J208-F208-G208-K208)</f>
        <v/>
      </c>
      <c r="N208" s="40" t="str">
        <f aca="false">IF(OR(J208="",J208=0),"",M208/J208)</f>
        <v/>
      </c>
      <c r="O208" s="41" t="str">
        <f aca="true">IF(D208="","",IF(I208&lt;&gt;"",I208,TODAY())-D208)</f>
        <v/>
      </c>
    </row>
    <row r="209" customFormat="false" ht="15" hidden="false" customHeight="false" outlineLevel="0" collapsed="false">
      <c r="A209" s="9"/>
      <c r="B209" s="9"/>
      <c r="C209" s="9"/>
      <c r="D209" s="34"/>
      <c r="E209" s="9"/>
      <c r="F209" s="35"/>
      <c r="G209" s="35"/>
      <c r="H209" s="35"/>
      <c r="I209" s="34"/>
      <c r="J209" s="35"/>
      <c r="K209" s="35"/>
      <c r="L209" s="39" t="str">
        <f aca="false">IF(A209="","",IF(I209&lt;&gt;"","Vendu","En stock"))</f>
        <v/>
      </c>
      <c r="M209" s="17" t="str">
        <f aca="false">IF(J209="","",J209-F209-G209-K209)</f>
        <v/>
      </c>
      <c r="N209" s="40" t="str">
        <f aca="false">IF(OR(J209="",J209=0),"",M209/J209)</f>
        <v/>
      </c>
      <c r="O209" s="41" t="str">
        <f aca="true">IF(D209="","",IF(I209&lt;&gt;"",I209,TODAY())-D209)</f>
        <v/>
      </c>
    </row>
    <row r="210" customFormat="false" ht="15" hidden="false" customHeight="false" outlineLevel="0" collapsed="false">
      <c r="A210" s="9"/>
      <c r="B210" s="9"/>
      <c r="C210" s="9"/>
      <c r="D210" s="34"/>
      <c r="E210" s="9"/>
      <c r="F210" s="35"/>
      <c r="G210" s="35"/>
      <c r="H210" s="35"/>
      <c r="I210" s="34"/>
      <c r="J210" s="35"/>
      <c r="K210" s="35"/>
      <c r="L210" s="39" t="str">
        <f aca="false">IF(A210="","",IF(I210&lt;&gt;"","Vendu","En stock"))</f>
        <v/>
      </c>
      <c r="M210" s="17" t="str">
        <f aca="false">IF(J210="","",J210-F210-G210-K210)</f>
        <v/>
      </c>
      <c r="N210" s="40" t="str">
        <f aca="false">IF(OR(J210="",J210=0),"",M210/J210)</f>
        <v/>
      </c>
      <c r="O210" s="41" t="str">
        <f aca="true">IF(D210="","",IF(I210&lt;&gt;"",I210,TODAY())-D210)</f>
        <v/>
      </c>
    </row>
    <row r="211" customFormat="false" ht="15" hidden="false" customHeight="false" outlineLevel="0" collapsed="false">
      <c r="A211" s="9"/>
      <c r="B211" s="9"/>
      <c r="C211" s="9"/>
      <c r="D211" s="34"/>
      <c r="E211" s="9"/>
      <c r="F211" s="35"/>
      <c r="G211" s="35"/>
      <c r="H211" s="35"/>
      <c r="I211" s="34"/>
      <c r="J211" s="35"/>
      <c r="K211" s="35"/>
      <c r="L211" s="39" t="str">
        <f aca="false">IF(A211="","",IF(I211&lt;&gt;"","Vendu","En stock"))</f>
        <v/>
      </c>
      <c r="M211" s="17" t="str">
        <f aca="false">IF(J211="","",J211-F211-G211-K211)</f>
        <v/>
      </c>
      <c r="N211" s="40" t="str">
        <f aca="false">IF(OR(J211="",J211=0),"",M211/J211)</f>
        <v/>
      </c>
      <c r="O211" s="41" t="str">
        <f aca="true">IF(D211="","",IF(I211&lt;&gt;"",I211,TODAY())-D211)</f>
        <v/>
      </c>
    </row>
    <row r="212" customFormat="false" ht="15" hidden="false" customHeight="false" outlineLevel="0" collapsed="false">
      <c r="A212" s="9"/>
      <c r="B212" s="9"/>
      <c r="C212" s="9"/>
      <c r="D212" s="34"/>
      <c r="E212" s="9"/>
      <c r="F212" s="35"/>
      <c r="G212" s="35"/>
      <c r="H212" s="35"/>
      <c r="I212" s="34"/>
      <c r="J212" s="35"/>
      <c r="K212" s="35"/>
      <c r="L212" s="39" t="str">
        <f aca="false">IF(A212="","",IF(I212&lt;&gt;"","Vendu","En stock"))</f>
        <v/>
      </c>
      <c r="M212" s="17" t="str">
        <f aca="false">IF(J212="","",J212-F212-G212-K212)</f>
        <v/>
      </c>
      <c r="N212" s="40" t="str">
        <f aca="false">IF(OR(J212="",J212=0),"",M212/J212)</f>
        <v/>
      </c>
      <c r="O212" s="41" t="str">
        <f aca="true">IF(D212="","",IF(I212&lt;&gt;"",I212,TODAY())-D212)</f>
        <v/>
      </c>
    </row>
    <row r="213" customFormat="false" ht="15" hidden="false" customHeight="false" outlineLevel="0" collapsed="false">
      <c r="A213" s="9"/>
      <c r="B213" s="9"/>
      <c r="C213" s="9"/>
      <c r="D213" s="34"/>
      <c r="E213" s="9"/>
      <c r="F213" s="35"/>
      <c r="G213" s="35"/>
      <c r="H213" s="35"/>
      <c r="I213" s="34"/>
      <c r="J213" s="35"/>
      <c r="K213" s="35"/>
      <c r="L213" s="39" t="str">
        <f aca="false">IF(A213="","",IF(I213&lt;&gt;"","Vendu","En stock"))</f>
        <v/>
      </c>
      <c r="M213" s="17" t="str">
        <f aca="false">IF(J213="","",J213-F213-G213-K213)</f>
        <v/>
      </c>
      <c r="N213" s="40" t="str">
        <f aca="false">IF(OR(J213="",J213=0),"",M213/J213)</f>
        <v/>
      </c>
      <c r="O213" s="41" t="str">
        <f aca="true">IF(D213="","",IF(I213&lt;&gt;"",I213,TODAY())-D213)</f>
        <v/>
      </c>
    </row>
    <row r="214" customFormat="false" ht="15" hidden="false" customHeight="false" outlineLevel="0" collapsed="false">
      <c r="A214" s="9"/>
      <c r="B214" s="9"/>
      <c r="C214" s="9"/>
      <c r="D214" s="34"/>
      <c r="E214" s="9"/>
      <c r="F214" s="35"/>
      <c r="G214" s="35"/>
      <c r="H214" s="35"/>
      <c r="I214" s="34"/>
      <c r="J214" s="35"/>
      <c r="K214" s="35"/>
      <c r="L214" s="39" t="str">
        <f aca="false">IF(A214="","",IF(I214&lt;&gt;"","Vendu","En stock"))</f>
        <v/>
      </c>
      <c r="M214" s="17" t="str">
        <f aca="false">IF(J214="","",J214-F214-G214-K214)</f>
        <v/>
      </c>
      <c r="N214" s="40" t="str">
        <f aca="false">IF(OR(J214="",J214=0),"",M214/J214)</f>
        <v/>
      </c>
      <c r="O214" s="41" t="str">
        <f aca="true">IF(D214="","",IF(I214&lt;&gt;"",I214,TODAY())-D214)</f>
        <v/>
      </c>
    </row>
    <row r="215" customFormat="false" ht="15" hidden="false" customHeight="false" outlineLevel="0" collapsed="false">
      <c r="A215" s="9"/>
      <c r="B215" s="9"/>
      <c r="C215" s="9"/>
      <c r="D215" s="34"/>
      <c r="E215" s="9"/>
      <c r="F215" s="35"/>
      <c r="G215" s="35"/>
      <c r="H215" s="35"/>
      <c r="I215" s="34"/>
      <c r="J215" s="35"/>
      <c r="K215" s="35"/>
      <c r="L215" s="39" t="str">
        <f aca="false">IF(A215="","",IF(I215&lt;&gt;"","Vendu","En stock"))</f>
        <v/>
      </c>
      <c r="M215" s="17" t="str">
        <f aca="false">IF(J215="","",J215-F215-G215-K215)</f>
        <v/>
      </c>
      <c r="N215" s="40" t="str">
        <f aca="false">IF(OR(J215="",J215=0),"",M215/J215)</f>
        <v/>
      </c>
      <c r="O215" s="41" t="str">
        <f aca="true">IF(D215="","",IF(I215&lt;&gt;"",I215,TODAY())-D215)</f>
        <v/>
      </c>
    </row>
    <row r="216" customFormat="false" ht="15" hidden="false" customHeight="false" outlineLevel="0" collapsed="false">
      <c r="A216" s="9"/>
      <c r="B216" s="9"/>
      <c r="C216" s="9"/>
      <c r="D216" s="34"/>
      <c r="E216" s="9"/>
      <c r="F216" s="35"/>
      <c r="G216" s="35"/>
      <c r="H216" s="35"/>
      <c r="I216" s="34"/>
      <c r="J216" s="35"/>
      <c r="K216" s="35"/>
      <c r="L216" s="39" t="str">
        <f aca="false">IF(A216="","",IF(I216&lt;&gt;"","Vendu","En stock"))</f>
        <v/>
      </c>
      <c r="M216" s="17" t="str">
        <f aca="false">IF(J216="","",J216-F216-G216-K216)</f>
        <v/>
      </c>
      <c r="N216" s="40" t="str">
        <f aca="false">IF(OR(J216="",J216=0),"",M216/J216)</f>
        <v/>
      </c>
      <c r="O216" s="41" t="str">
        <f aca="true">IF(D216="","",IF(I216&lt;&gt;"",I216,TODAY())-D216)</f>
        <v/>
      </c>
    </row>
    <row r="217" customFormat="false" ht="15" hidden="false" customHeight="false" outlineLevel="0" collapsed="false">
      <c r="A217" s="9"/>
      <c r="B217" s="9"/>
      <c r="C217" s="9"/>
      <c r="D217" s="34"/>
      <c r="E217" s="9"/>
      <c r="F217" s="35"/>
      <c r="G217" s="35"/>
      <c r="H217" s="35"/>
      <c r="I217" s="34"/>
      <c r="J217" s="35"/>
      <c r="K217" s="35"/>
      <c r="L217" s="39" t="str">
        <f aca="false">IF(A217="","",IF(I217&lt;&gt;"","Vendu","En stock"))</f>
        <v/>
      </c>
      <c r="M217" s="17" t="str">
        <f aca="false">IF(J217="","",J217-F217-G217-K217)</f>
        <v/>
      </c>
      <c r="N217" s="40" t="str">
        <f aca="false">IF(OR(J217="",J217=0),"",M217/J217)</f>
        <v/>
      </c>
      <c r="O217" s="41" t="str">
        <f aca="true">IF(D217="","",IF(I217&lt;&gt;"",I217,TODAY())-D217)</f>
        <v/>
      </c>
    </row>
    <row r="218" customFormat="false" ht="15" hidden="false" customHeight="false" outlineLevel="0" collapsed="false">
      <c r="A218" s="9"/>
      <c r="B218" s="9"/>
      <c r="C218" s="9"/>
      <c r="D218" s="34"/>
      <c r="E218" s="9"/>
      <c r="F218" s="35"/>
      <c r="G218" s="35"/>
      <c r="H218" s="35"/>
      <c r="I218" s="34"/>
      <c r="J218" s="35"/>
      <c r="K218" s="35"/>
      <c r="L218" s="39" t="str">
        <f aca="false">IF(A218="","",IF(I218&lt;&gt;"","Vendu","En stock"))</f>
        <v/>
      </c>
      <c r="M218" s="17" t="str">
        <f aca="false">IF(J218="","",J218-F218-G218-K218)</f>
        <v/>
      </c>
      <c r="N218" s="40" t="str">
        <f aca="false">IF(OR(J218="",J218=0),"",M218/J218)</f>
        <v/>
      </c>
      <c r="O218" s="41" t="str">
        <f aca="true">IF(D218="","",IF(I218&lt;&gt;"",I218,TODAY())-D218)</f>
        <v/>
      </c>
    </row>
    <row r="219" customFormat="false" ht="15" hidden="false" customHeight="false" outlineLevel="0" collapsed="false">
      <c r="A219" s="9"/>
      <c r="B219" s="9"/>
      <c r="C219" s="9"/>
      <c r="D219" s="34"/>
      <c r="E219" s="9"/>
      <c r="F219" s="35"/>
      <c r="G219" s="35"/>
      <c r="H219" s="35"/>
      <c r="I219" s="34"/>
      <c r="J219" s="35"/>
      <c r="K219" s="35"/>
      <c r="L219" s="39" t="str">
        <f aca="false">IF(A219="","",IF(I219&lt;&gt;"","Vendu","En stock"))</f>
        <v/>
      </c>
      <c r="M219" s="17" t="str">
        <f aca="false">IF(J219="","",J219-F219-G219-K219)</f>
        <v/>
      </c>
      <c r="N219" s="40" t="str">
        <f aca="false">IF(OR(J219="",J219=0),"",M219/J219)</f>
        <v/>
      </c>
      <c r="O219" s="41" t="str">
        <f aca="true">IF(D219="","",IF(I219&lt;&gt;"",I219,TODAY())-D219)</f>
        <v/>
      </c>
    </row>
    <row r="220" customFormat="false" ht="15" hidden="false" customHeight="false" outlineLevel="0" collapsed="false">
      <c r="A220" s="9"/>
      <c r="B220" s="9"/>
      <c r="C220" s="9"/>
      <c r="D220" s="34"/>
      <c r="E220" s="9"/>
      <c r="F220" s="35"/>
      <c r="G220" s="35"/>
      <c r="H220" s="35"/>
      <c r="I220" s="34"/>
      <c r="J220" s="35"/>
      <c r="K220" s="35"/>
      <c r="L220" s="39" t="str">
        <f aca="false">IF(A220="","",IF(I220&lt;&gt;"","Vendu","En stock"))</f>
        <v/>
      </c>
      <c r="M220" s="17" t="str">
        <f aca="false">IF(J220="","",J220-F220-G220-K220)</f>
        <v/>
      </c>
      <c r="N220" s="40" t="str">
        <f aca="false">IF(OR(J220="",J220=0),"",M220/J220)</f>
        <v/>
      </c>
      <c r="O220" s="41" t="str">
        <f aca="true">IF(D220="","",IF(I220&lt;&gt;"",I220,TODAY())-D220)</f>
        <v/>
      </c>
    </row>
    <row r="221" customFormat="false" ht="15" hidden="false" customHeight="false" outlineLevel="0" collapsed="false">
      <c r="A221" s="9"/>
      <c r="B221" s="9"/>
      <c r="C221" s="9"/>
      <c r="D221" s="34"/>
      <c r="E221" s="9"/>
      <c r="F221" s="35"/>
      <c r="G221" s="35"/>
      <c r="H221" s="35"/>
      <c r="I221" s="34"/>
      <c r="J221" s="35"/>
      <c r="K221" s="35"/>
      <c r="L221" s="39" t="str">
        <f aca="false">IF(A221="","",IF(I221&lt;&gt;"","Vendu","En stock"))</f>
        <v/>
      </c>
      <c r="M221" s="17" t="str">
        <f aca="false">IF(J221="","",J221-F221-G221-K221)</f>
        <v/>
      </c>
      <c r="N221" s="40" t="str">
        <f aca="false">IF(OR(J221="",J221=0),"",M221/J221)</f>
        <v/>
      </c>
      <c r="O221" s="41" t="str">
        <f aca="true">IF(D221="","",IF(I221&lt;&gt;"",I221,TODAY())-D221)</f>
        <v/>
      </c>
    </row>
    <row r="222" customFormat="false" ht="15" hidden="false" customHeight="false" outlineLevel="0" collapsed="false">
      <c r="A222" s="9"/>
      <c r="B222" s="9"/>
      <c r="C222" s="9"/>
      <c r="D222" s="34"/>
      <c r="E222" s="9"/>
      <c r="F222" s="35"/>
      <c r="G222" s="35"/>
      <c r="H222" s="35"/>
      <c r="I222" s="34"/>
      <c r="J222" s="35"/>
      <c r="K222" s="35"/>
      <c r="L222" s="39" t="str">
        <f aca="false">IF(A222="","",IF(I222&lt;&gt;"","Vendu","En stock"))</f>
        <v/>
      </c>
      <c r="M222" s="17" t="str">
        <f aca="false">IF(J222="","",J222-F222-G222-K222)</f>
        <v/>
      </c>
      <c r="N222" s="40" t="str">
        <f aca="false">IF(OR(J222="",J222=0),"",M222/J222)</f>
        <v/>
      </c>
      <c r="O222" s="41" t="str">
        <f aca="true">IF(D222="","",IF(I222&lt;&gt;"",I222,TODAY())-D222)</f>
        <v/>
      </c>
    </row>
    <row r="223" customFormat="false" ht="15" hidden="false" customHeight="false" outlineLevel="0" collapsed="false">
      <c r="A223" s="9"/>
      <c r="B223" s="9"/>
      <c r="C223" s="9"/>
      <c r="D223" s="34"/>
      <c r="E223" s="9"/>
      <c r="F223" s="35"/>
      <c r="G223" s="35"/>
      <c r="H223" s="35"/>
      <c r="I223" s="34"/>
      <c r="J223" s="35"/>
      <c r="K223" s="35"/>
      <c r="L223" s="39" t="str">
        <f aca="false">IF(A223="","",IF(I223&lt;&gt;"","Vendu","En stock"))</f>
        <v/>
      </c>
      <c r="M223" s="17" t="str">
        <f aca="false">IF(J223="","",J223-F223-G223-K223)</f>
        <v/>
      </c>
      <c r="N223" s="40" t="str">
        <f aca="false">IF(OR(J223="",J223=0),"",M223/J223)</f>
        <v/>
      </c>
      <c r="O223" s="41" t="str">
        <f aca="true">IF(D223="","",IF(I223&lt;&gt;"",I223,TODAY())-D223)</f>
        <v/>
      </c>
    </row>
    <row r="224" customFormat="false" ht="15" hidden="false" customHeight="false" outlineLevel="0" collapsed="false">
      <c r="A224" s="9"/>
      <c r="B224" s="9"/>
      <c r="C224" s="9"/>
      <c r="D224" s="34"/>
      <c r="E224" s="9"/>
      <c r="F224" s="35"/>
      <c r="G224" s="35"/>
      <c r="H224" s="35"/>
      <c r="I224" s="34"/>
      <c r="J224" s="35"/>
      <c r="K224" s="35"/>
      <c r="L224" s="39" t="str">
        <f aca="false">IF(A224="","",IF(I224&lt;&gt;"","Vendu","En stock"))</f>
        <v/>
      </c>
      <c r="M224" s="17" t="str">
        <f aca="false">IF(J224="","",J224-F224-G224-K224)</f>
        <v/>
      </c>
      <c r="N224" s="40" t="str">
        <f aca="false">IF(OR(J224="",J224=0),"",M224/J224)</f>
        <v/>
      </c>
      <c r="O224" s="41" t="str">
        <f aca="true">IF(D224="","",IF(I224&lt;&gt;"",I224,TODAY())-D224)</f>
        <v/>
      </c>
    </row>
    <row r="225" customFormat="false" ht="15" hidden="false" customHeight="false" outlineLevel="0" collapsed="false">
      <c r="A225" s="9"/>
      <c r="B225" s="9"/>
      <c r="C225" s="9"/>
      <c r="D225" s="34"/>
      <c r="E225" s="9"/>
      <c r="F225" s="35"/>
      <c r="G225" s="35"/>
      <c r="H225" s="35"/>
      <c r="I225" s="34"/>
      <c r="J225" s="35"/>
      <c r="K225" s="35"/>
      <c r="L225" s="39" t="str">
        <f aca="false">IF(A225="","",IF(I225&lt;&gt;"","Vendu","En stock"))</f>
        <v/>
      </c>
      <c r="M225" s="17" t="str">
        <f aca="false">IF(J225="","",J225-F225-G225-K225)</f>
        <v/>
      </c>
      <c r="N225" s="40" t="str">
        <f aca="false">IF(OR(J225="",J225=0),"",M225/J225)</f>
        <v/>
      </c>
      <c r="O225" s="41" t="str">
        <f aca="true">IF(D225="","",IF(I225&lt;&gt;"",I225,TODAY())-D225)</f>
        <v/>
      </c>
    </row>
    <row r="226" customFormat="false" ht="15" hidden="false" customHeight="false" outlineLevel="0" collapsed="false">
      <c r="A226" s="9"/>
      <c r="B226" s="9"/>
      <c r="C226" s="9"/>
      <c r="D226" s="34"/>
      <c r="E226" s="9"/>
      <c r="F226" s="35"/>
      <c r="G226" s="35"/>
      <c r="H226" s="35"/>
      <c r="I226" s="34"/>
      <c r="J226" s="35"/>
      <c r="K226" s="35"/>
      <c r="L226" s="39" t="str">
        <f aca="false">IF(A226="","",IF(I226&lt;&gt;"","Vendu","En stock"))</f>
        <v/>
      </c>
      <c r="M226" s="17" t="str">
        <f aca="false">IF(J226="","",J226-F226-G226-K226)</f>
        <v/>
      </c>
      <c r="N226" s="40" t="str">
        <f aca="false">IF(OR(J226="",J226=0),"",M226/J226)</f>
        <v/>
      </c>
      <c r="O226" s="41" t="str">
        <f aca="true">IF(D226="","",IF(I226&lt;&gt;"",I226,TODAY())-D226)</f>
        <v/>
      </c>
    </row>
    <row r="227" customFormat="false" ht="15" hidden="false" customHeight="false" outlineLevel="0" collapsed="false">
      <c r="A227" s="9"/>
      <c r="B227" s="9"/>
      <c r="C227" s="9"/>
      <c r="D227" s="34"/>
      <c r="E227" s="9"/>
      <c r="F227" s="35"/>
      <c r="G227" s="35"/>
      <c r="H227" s="35"/>
      <c r="I227" s="34"/>
      <c r="J227" s="35"/>
      <c r="K227" s="35"/>
      <c r="L227" s="39" t="str">
        <f aca="false">IF(A227="","",IF(I227&lt;&gt;"","Vendu","En stock"))</f>
        <v/>
      </c>
      <c r="M227" s="17" t="str">
        <f aca="false">IF(J227="","",J227-F227-G227-K227)</f>
        <v/>
      </c>
      <c r="N227" s="40" t="str">
        <f aca="false">IF(OR(J227="",J227=0),"",M227/J227)</f>
        <v/>
      </c>
      <c r="O227" s="41" t="str">
        <f aca="true">IF(D227="","",IF(I227&lt;&gt;"",I227,TODAY())-D227)</f>
        <v/>
      </c>
    </row>
    <row r="228" customFormat="false" ht="15" hidden="false" customHeight="false" outlineLevel="0" collapsed="false">
      <c r="A228" s="9"/>
      <c r="B228" s="9"/>
      <c r="C228" s="9"/>
      <c r="D228" s="34"/>
      <c r="E228" s="9"/>
      <c r="F228" s="35"/>
      <c r="G228" s="35"/>
      <c r="H228" s="35"/>
      <c r="I228" s="34"/>
      <c r="J228" s="35"/>
      <c r="K228" s="35"/>
      <c r="L228" s="39" t="str">
        <f aca="false">IF(A228="","",IF(I228&lt;&gt;"","Vendu","En stock"))</f>
        <v/>
      </c>
      <c r="M228" s="17" t="str">
        <f aca="false">IF(J228="","",J228-F228-G228-K228)</f>
        <v/>
      </c>
      <c r="N228" s="40" t="str">
        <f aca="false">IF(OR(J228="",J228=0),"",M228/J228)</f>
        <v/>
      </c>
      <c r="O228" s="41" t="str">
        <f aca="true">IF(D228="","",IF(I228&lt;&gt;"",I228,TODAY())-D228)</f>
        <v/>
      </c>
    </row>
    <row r="229" customFormat="false" ht="15" hidden="false" customHeight="false" outlineLevel="0" collapsed="false">
      <c r="A229" s="9"/>
      <c r="B229" s="9"/>
      <c r="C229" s="9"/>
      <c r="D229" s="34"/>
      <c r="E229" s="9"/>
      <c r="F229" s="35"/>
      <c r="G229" s="35"/>
      <c r="H229" s="35"/>
      <c r="I229" s="34"/>
      <c r="J229" s="35"/>
      <c r="K229" s="35"/>
      <c r="L229" s="39" t="str">
        <f aca="false">IF(A229="","",IF(I229&lt;&gt;"","Vendu","En stock"))</f>
        <v/>
      </c>
      <c r="M229" s="17" t="str">
        <f aca="false">IF(J229="","",J229-F229-G229-K229)</f>
        <v/>
      </c>
      <c r="N229" s="40" t="str">
        <f aca="false">IF(OR(J229="",J229=0),"",M229/J229)</f>
        <v/>
      </c>
      <c r="O229" s="41" t="str">
        <f aca="true">IF(D229="","",IF(I229&lt;&gt;"",I229,TODAY())-D229)</f>
        <v/>
      </c>
    </row>
    <row r="230" customFormat="false" ht="15" hidden="false" customHeight="false" outlineLevel="0" collapsed="false">
      <c r="A230" s="9"/>
      <c r="B230" s="9"/>
      <c r="C230" s="9"/>
      <c r="D230" s="34"/>
      <c r="E230" s="9"/>
      <c r="F230" s="35"/>
      <c r="G230" s="35"/>
      <c r="H230" s="35"/>
      <c r="I230" s="34"/>
      <c r="J230" s="35"/>
      <c r="K230" s="35"/>
      <c r="L230" s="39" t="str">
        <f aca="false">IF(A230="","",IF(I230&lt;&gt;"","Vendu","En stock"))</f>
        <v/>
      </c>
      <c r="M230" s="17" t="str">
        <f aca="false">IF(J230="","",J230-F230-G230-K230)</f>
        <v/>
      </c>
      <c r="N230" s="40" t="str">
        <f aca="false">IF(OR(J230="",J230=0),"",M230/J230)</f>
        <v/>
      </c>
      <c r="O230" s="41" t="str">
        <f aca="true">IF(D230="","",IF(I230&lt;&gt;"",I230,TODAY())-D230)</f>
        <v/>
      </c>
    </row>
    <row r="231" customFormat="false" ht="15" hidden="false" customHeight="false" outlineLevel="0" collapsed="false">
      <c r="A231" s="9"/>
      <c r="B231" s="9"/>
      <c r="C231" s="9"/>
      <c r="D231" s="34"/>
      <c r="E231" s="9"/>
      <c r="F231" s="35"/>
      <c r="G231" s="35"/>
      <c r="H231" s="35"/>
      <c r="I231" s="34"/>
      <c r="J231" s="35"/>
      <c r="K231" s="35"/>
      <c r="L231" s="39" t="str">
        <f aca="false">IF(A231="","",IF(I231&lt;&gt;"","Vendu","En stock"))</f>
        <v/>
      </c>
      <c r="M231" s="17" t="str">
        <f aca="false">IF(J231="","",J231-F231-G231-K231)</f>
        <v/>
      </c>
      <c r="N231" s="40" t="str">
        <f aca="false">IF(OR(J231="",J231=0),"",M231/J231)</f>
        <v/>
      </c>
      <c r="O231" s="41" t="str">
        <f aca="true">IF(D231="","",IF(I231&lt;&gt;"",I231,TODAY())-D231)</f>
        <v/>
      </c>
    </row>
    <row r="232" customFormat="false" ht="15" hidden="false" customHeight="false" outlineLevel="0" collapsed="false">
      <c r="A232" s="9"/>
      <c r="B232" s="9"/>
      <c r="C232" s="9"/>
      <c r="D232" s="34"/>
      <c r="E232" s="9"/>
      <c r="F232" s="35"/>
      <c r="G232" s="35"/>
      <c r="H232" s="35"/>
      <c r="I232" s="34"/>
      <c r="J232" s="35"/>
      <c r="K232" s="35"/>
      <c r="L232" s="39" t="str">
        <f aca="false">IF(A232="","",IF(I232&lt;&gt;"","Vendu","En stock"))</f>
        <v/>
      </c>
      <c r="M232" s="17" t="str">
        <f aca="false">IF(J232="","",J232-F232-G232-K232)</f>
        <v/>
      </c>
      <c r="N232" s="40" t="str">
        <f aca="false">IF(OR(J232="",J232=0),"",M232/J232)</f>
        <v/>
      </c>
      <c r="O232" s="41" t="str">
        <f aca="true">IF(D232="","",IF(I232&lt;&gt;"",I232,TODAY())-D232)</f>
        <v/>
      </c>
    </row>
    <row r="233" customFormat="false" ht="15" hidden="false" customHeight="false" outlineLevel="0" collapsed="false">
      <c r="A233" s="9"/>
      <c r="B233" s="9"/>
      <c r="C233" s="9"/>
      <c r="D233" s="34"/>
      <c r="E233" s="9"/>
      <c r="F233" s="35"/>
      <c r="G233" s="35"/>
      <c r="H233" s="35"/>
      <c r="I233" s="34"/>
      <c r="J233" s="35"/>
      <c r="K233" s="35"/>
      <c r="L233" s="39" t="str">
        <f aca="false">IF(A233="","",IF(I233&lt;&gt;"","Vendu","En stock"))</f>
        <v/>
      </c>
      <c r="M233" s="17" t="str">
        <f aca="false">IF(J233="","",J233-F233-G233-K233)</f>
        <v/>
      </c>
      <c r="N233" s="40" t="str">
        <f aca="false">IF(OR(J233="",J233=0),"",M233/J233)</f>
        <v/>
      </c>
      <c r="O233" s="41" t="str">
        <f aca="true">IF(D233="","",IF(I233&lt;&gt;"",I233,TODAY())-D233)</f>
        <v/>
      </c>
    </row>
    <row r="234" customFormat="false" ht="15" hidden="false" customHeight="false" outlineLevel="0" collapsed="false">
      <c r="A234" s="9"/>
      <c r="B234" s="9"/>
      <c r="C234" s="9"/>
      <c r="D234" s="34"/>
      <c r="E234" s="9"/>
      <c r="F234" s="35"/>
      <c r="G234" s="35"/>
      <c r="H234" s="35"/>
      <c r="I234" s="34"/>
      <c r="J234" s="35"/>
      <c r="K234" s="35"/>
      <c r="L234" s="39" t="str">
        <f aca="false">IF(A234="","",IF(I234&lt;&gt;"","Vendu","En stock"))</f>
        <v/>
      </c>
      <c r="M234" s="17" t="str">
        <f aca="false">IF(J234="","",J234-F234-G234-K234)</f>
        <v/>
      </c>
      <c r="N234" s="40" t="str">
        <f aca="false">IF(OR(J234="",J234=0),"",M234/J234)</f>
        <v/>
      </c>
      <c r="O234" s="41" t="str">
        <f aca="true">IF(D234="","",IF(I234&lt;&gt;"",I234,TODAY())-D234)</f>
        <v/>
      </c>
    </row>
    <row r="235" customFormat="false" ht="15" hidden="false" customHeight="false" outlineLevel="0" collapsed="false">
      <c r="A235" s="9"/>
      <c r="B235" s="9"/>
      <c r="C235" s="9"/>
      <c r="D235" s="34"/>
      <c r="E235" s="9"/>
      <c r="F235" s="35"/>
      <c r="G235" s="35"/>
      <c r="H235" s="35"/>
      <c r="I235" s="34"/>
      <c r="J235" s="35"/>
      <c r="K235" s="35"/>
      <c r="L235" s="39" t="str">
        <f aca="false">IF(A235="","",IF(I235&lt;&gt;"","Vendu","En stock"))</f>
        <v/>
      </c>
      <c r="M235" s="17" t="str">
        <f aca="false">IF(J235="","",J235-F235-G235-K235)</f>
        <v/>
      </c>
      <c r="N235" s="40" t="str">
        <f aca="false">IF(OR(J235="",J235=0),"",M235/J235)</f>
        <v/>
      </c>
      <c r="O235" s="41" t="str">
        <f aca="true">IF(D235="","",IF(I235&lt;&gt;"",I235,TODAY())-D235)</f>
        <v/>
      </c>
    </row>
    <row r="236" customFormat="false" ht="15" hidden="false" customHeight="false" outlineLevel="0" collapsed="false">
      <c r="A236" s="9"/>
      <c r="B236" s="9"/>
      <c r="C236" s="9"/>
      <c r="D236" s="34"/>
      <c r="E236" s="9"/>
      <c r="F236" s="35"/>
      <c r="G236" s="35"/>
      <c r="H236" s="35"/>
      <c r="I236" s="34"/>
      <c r="J236" s="35"/>
      <c r="K236" s="35"/>
      <c r="L236" s="39" t="str">
        <f aca="false">IF(A236="","",IF(I236&lt;&gt;"","Vendu","En stock"))</f>
        <v/>
      </c>
      <c r="M236" s="17" t="str">
        <f aca="false">IF(J236="","",J236-F236-G236-K236)</f>
        <v/>
      </c>
      <c r="N236" s="40" t="str">
        <f aca="false">IF(OR(J236="",J236=0),"",M236/J236)</f>
        <v/>
      </c>
      <c r="O236" s="41" t="str">
        <f aca="true">IF(D236="","",IF(I236&lt;&gt;"",I236,TODAY())-D236)</f>
        <v/>
      </c>
    </row>
    <row r="237" customFormat="false" ht="15" hidden="false" customHeight="false" outlineLevel="0" collapsed="false">
      <c r="A237" s="9"/>
      <c r="B237" s="9"/>
      <c r="C237" s="9"/>
      <c r="D237" s="34"/>
      <c r="E237" s="9"/>
      <c r="F237" s="35"/>
      <c r="G237" s="35"/>
      <c r="H237" s="35"/>
      <c r="I237" s="34"/>
      <c r="J237" s="35"/>
      <c r="K237" s="35"/>
      <c r="L237" s="39" t="str">
        <f aca="false">IF(A237="","",IF(I237&lt;&gt;"","Vendu","En stock"))</f>
        <v/>
      </c>
      <c r="M237" s="17" t="str">
        <f aca="false">IF(J237="","",J237-F237-G237-K237)</f>
        <v/>
      </c>
      <c r="N237" s="40" t="str">
        <f aca="false">IF(OR(J237="",J237=0),"",M237/J237)</f>
        <v/>
      </c>
      <c r="O237" s="41" t="str">
        <f aca="true">IF(D237="","",IF(I237&lt;&gt;"",I237,TODAY())-D237)</f>
        <v/>
      </c>
    </row>
    <row r="238" customFormat="false" ht="15" hidden="false" customHeight="false" outlineLevel="0" collapsed="false">
      <c r="A238" s="9"/>
      <c r="B238" s="9"/>
      <c r="C238" s="9"/>
      <c r="D238" s="34"/>
      <c r="E238" s="9"/>
      <c r="F238" s="35"/>
      <c r="G238" s="35"/>
      <c r="H238" s="35"/>
      <c r="I238" s="34"/>
      <c r="J238" s="35"/>
      <c r="K238" s="35"/>
      <c r="L238" s="39" t="str">
        <f aca="false">IF(A238="","",IF(I238&lt;&gt;"","Vendu","En stock"))</f>
        <v/>
      </c>
      <c r="M238" s="17" t="str">
        <f aca="false">IF(J238="","",J238-F238-G238-K238)</f>
        <v/>
      </c>
      <c r="N238" s="40" t="str">
        <f aca="false">IF(OR(J238="",J238=0),"",M238/J238)</f>
        <v/>
      </c>
      <c r="O238" s="41" t="str">
        <f aca="true">IF(D238="","",IF(I238&lt;&gt;"",I238,TODAY())-D238)</f>
        <v/>
      </c>
    </row>
    <row r="239" customFormat="false" ht="15" hidden="false" customHeight="false" outlineLevel="0" collapsed="false">
      <c r="A239" s="9"/>
      <c r="B239" s="9"/>
      <c r="C239" s="9"/>
      <c r="D239" s="34"/>
      <c r="E239" s="9"/>
      <c r="F239" s="35"/>
      <c r="G239" s="35"/>
      <c r="H239" s="35"/>
      <c r="I239" s="34"/>
      <c r="J239" s="35"/>
      <c r="K239" s="35"/>
      <c r="L239" s="39" t="str">
        <f aca="false">IF(A239="","",IF(I239&lt;&gt;"","Vendu","En stock"))</f>
        <v/>
      </c>
      <c r="M239" s="17" t="str">
        <f aca="false">IF(J239="","",J239-F239-G239-K239)</f>
        <v/>
      </c>
      <c r="N239" s="40" t="str">
        <f aca="false">IF(OR(J239="",J239=0),"",M239/J239)</f>
        <v/>
      </c>
      <c r="O239" s="41" t="str">
        <f aca="true">IF(D239="","",IF(I239&lt;&gt;"",I239,TODAY())-D239)</f>
        <v/>
      </c>
    </row>
    <row r="240" customFormat="false" ht="15" hidden="false" customHeight="false" outlineLevel="0" collapsed="false">
      <c r="A240" s="9"/>
      <c r="B240" s="9"/>
      <c r="C240" s="9"/>
      <c r="D240" s="34"/>
      <c r="E240" s="9"/>
      <c r="F240" s="35"/>
      <c r="G240" s="35"/>
      <c r="H240" s="35"/>
      <c r="I240" s="34"/>
      <c r="J240" s="35"/>
      <c r="K240" s="35"/>
      <c r="L240" s="39" t="str">
        <f aca="false">IF(A240="","",IF(I240&lt;&gt;"","Vendu","En stock"))</f>
        <v/>
      </c>
      <c r="M240" s="17" t="str">
        <f aca="false">IF(J240="","",J240-F240-G240-K240)</f>
        <v/>
      </c>
      <c r="N240" s="40" t="str">
        <f aca="false">IF(OR(J240="",J240=0),"",M240/J240)</f>
        <v/>
      </c>
      <c r="O240" s="41" t="str">
        <f aca="true">IF(D240="","",IF(I240&lt;&gt;"",I240,TODAY())-D240)</f>
        <v/>
      </c>
    </row>
    <row r="241" customFormat="false" ht="15" hidden="false" customHeight="false" outlineLevel="0" collapsed="false">
      <c r="A241" s="9"/>
      <c r="B241" s="9"/>
      <c r="C241" s="9"/>
      <c r="D241" s="34"/>
      <c r="E241" s="9"/>
      <c r="F241" s="35"/>
      <c r="G241" s="35"/>
      <c r="H241" s="35"/>
      <c r="I241" s="34"/>
      <c r="J241" s="35"/>
      <c r="K241" s="35"/>
      <c r="L241" s="39" t="str">
        <f aca="false">IF(A241="","",IF(I241&lt;&gt;"","Vendu","En stock"))</f>
        <v/>
      </c>
      <c r="M241" s="17" t="str">
        <f aca="false">IF(J241="","",J241-F241-G241-K241)</f>
        <v/>
      </c>
      <c r="N241" s="40" t="str">
        <f aca="false">IF(OR(J241="",J241=0),"",M241/J241)</f>
        <v/>
      </c>
      <c r="O241" s="41" t="str">
        <f aca="true">IF(D241="","",IF(I241&lt;&gt;"",I241,TODAY())-D241)</f>
        <v/>
      </c>
    </row>
    <row r="242" customFormat="false" ht="15" hidden="false" customHeight="false" outlineLevel="0" collapsed="false">
      <c r="A242" s="9"/>
      <c r="B242" s="9"/>
      <c r="C242" s="9"/>
      <c r="D242" s="34"/>
      <c r="E242" s="9"/>
      <c r="F242" s="35"/>
      <c r="G242" s="35"/>
      <c r="H242" s="35"/>
      <c r="I242" s="34"/>
      <c r="J242" s="35"/>
      <c r="K242" s="35"/>
      <c r="L242" s="39" t="str">
        <f aca="false">IF(A242="","",IF(I242&lt;&gt;"","Vendu","En stock"))</f>
        <v/>
      </c>
      <c r="M242" s="17" t="str">
        <f aca="false">IF(J242="","",J242-F242-G242-K242)</f>
        <v/>
      </c>
      <c r="N242" s="40" t="str">
        <f aca="false">IF(OR(J242="",J242=0),"",M242/J242)</f>
        <v/>
      </c>
      <c r="O242" s="41" t="str">
        <f aca="true">IF(D242="","",IF(I242&lt;&gt;"",I242,TODAY())-D242)</f>
        <v/>
      </c>
    </row>
    <row r="243" customFormat="false" ht="15" hidden="false" customHeight="false" outlineLevel="0" collapsed="false">
      <c r="A243" s="9"/>
      <c r="B243" s="9"/>
      <c r="C243" s="9"/>
      <c r="D243" s="34"/>
      <c r="E243" s="9"/>
      <c r="F243" s="35"/>
      <c r="G243" s="35"/>
      <c r="H243" s="35"/>
      <c r="I243" s="34"/>
      <c r="J243" s="35"/>
      <c r="K243" s="35"/>
      <c r="L243" s="39" t="str">
        <f aca="false">IF(A243="","",IF(I243&lt;&gt;"","Vendu","En stock"))</f>
        <v/>
      </c>
      <c r="M243" s="17" t="str">
        <f aca="false">IF(J243="","",J243-F243-G243-K243)</f>
        <v/>
      </c>
      <c r="N243" s="40" t="str">
        <f aca="false">IF(OR(J243="",J243=0),"",M243/J243)</f>
        <v/>
      </c>
      <c r="O243" s="41" t="str">
        <f aca="true">IF(D243="","",IF(I243&lt;&gt;"",I243,TODAY())-D243)</f>
        <v/>
      </c>
    </row>
    <row r="244" customFormat="false" ht="15" hidden="false" customHeight="false" outlineLevel="0" collapsed="false">
      <c r="A244" s="9"/>
      <c r="B244" s="9"/>
      <c r="C244" s="9"/>
      <c r="D244" s="34"/>
      <c r="E244" s="9"/>
      <c r="F244" s="35"/>
      <c r="G244" s="35"/>
      <c r="H244" s="35"/>
      <c r="I244" s="34"/>
      <c r="J244" s="35"/>
      <c r="K244" s="35"/>
      <c r="L244" s="39" t="str">
        <f aca="false">IF(A244="","",IF(I244&lt;&gt;"","Vendu","En stock"))</f>
        <v/>
      </c>
      <c r="M244" s="17" t="str">
        <f aca="false">IF(J244="","",J244-F244-G244-K244)</f>
        <v/>
      </c>
      <c r="N244" s="40" t="str">
        <f aca="false">IF(OR(J244="",J244=0),"",M244/J244)</f>
        <v/>
      </c>
      <c r="O244" s="41" t="str">
        <f aca="true">IF(D244="","",IF(I244&lt;&gt;"",I244,TODAY())-D244)</f>
        <v/>
      </c>
    </row>
    <row r="245" customFormat="false" ht="15" hidden="false" customHeight="false" outlineLevel="0" collapsed="false">
      <c r="A245" s="9"/>
      <c r="B245" s="9"/>
      <c r="C245" s="9"/>
      <c r="D245" s="34"/>
      <c r="E245" s="9"/>
      <c r="F245" s="35"/>
      <c r="G245" s="35"/>
      <c r="H245" s="35"/>
      <c r="I245" s="34"/>
      <c r="J245" s="35"/>
      <c r="K245" s="35"/>
      <c r="L245" s="39" t="str">
        <f aca="false">IF(A245="","",IF(I245&lt;&gt;"","Vendu","En stock"))</f>
        <v/>
      </c>
      <c r="M245" s="17" t="str">
        <f aca="false">IF(J245="","",J245-F245-G245-K245)</f>
        <v/>
      </c>
      <c r="N245" s="40" t="str">
        <f aca="false">IF(OR(J245="",J245=0),"",M245/J245)</f>
        <v/>
      </c>
      <c r="O245" s="41" t="str">
        <f aca="true">IF(D245="","",IF(I245&lt;&gt;"",I245,TODAY())-D245)</f>
        <v/>
      </c>
    </row>
    <row r="246" customFormat="false" ht="15" hidden="false" customHeight="false" outlineLevel="0" collapsed="false">
      <c r="A246" s="9"/>
      <c r="B246" s="9"/>
      <c r="C246" s="9"/>
      <c r="D246" s="34"/>
      <c r="E246" s="9"/>
      <c r="F246" s="35"/>
      <c r="G246" s="35"/>
      <c r="H246" s="35"/>
      <c r="I246" s="34"/>
      <c r="J246" s="35"/>
      <c r="K246" s="35"/>
      <c r="L246" s="39" t="str">
        <f aca="false">IF(A246="","",IF(I246&lt;&gt;"","Vendu","En stock"))</f>
        <v/>
      </c>
      <c r="M246" s="17" t="str">
        <f aca="false">IF(J246="","",J246-F246-G246-K246)</f>
        <v/>
      </c>
      <c r="N246" s="40" t="str">
        <f aca="false">IF(OR(J246="",J246=0),"",M246/J246)</f>
        <v/>
      </c>
      <c r="O246" s="41" t="str">
        <f aca="true">IF(D246="","",IF(I246&lt;&gt;"",I246,TODAY())-D246)</f>
        <v/>
      </c>
    </row>
    <row r="247" customFormat="false" ht="15" hidden="false" customHeight="false" outlineLevel="0" collapsed="false">
      <c r="A247" s="9"/>
      <c r="B247" s="9"/>
      <c r="C247" s="9"/>
      <c r="D247" s="34"/>
      <c r="E247" s="9"/>
      <c r="F247" s="35"/>
      <c r="G247" s="35"/>
      <c r="H247" s="35"/>
      <c r="I247" s="34"/>
      <c r="J247" s="35"/>
      <c r="K247" s="35"/>
      <c r="L247" s="39" t="str">
        <f aca="false">IF(A247="","",IF(I247&lt;&gt;"","Vendu","En stock"))</f>
        <v/>
      </c>
      <c r="M247" s="17" t="str">
        <f aca="false">IF(J247="","",J247-F247-G247-K247)</f>
        <v/>
      </c>
      <c r="N247" s="40" t="str">
        <f aca="false">IF(OR(J247="",J247=0),"",M247/J247)</f>
        <v/>
      </c>
      <c r="O247" s="41" t="str">
        <f aca="true">IF(D247="","",IF(I247&lt;&gt;"",I247,TODAY())-D247)</f>
        <v/>
      </c>
    </row>
    <row r="248" customFormat="false" ht="15" hidden="false" customHeight="false" outlineLevel="0" collapsed="false">
      <c r="A248" s="9"/>
      <c r="B248" s="9"/>
      <c r="C248" s="9"/>
      <c r="D248" s="34"/>
      <c r="E248" s="9"/>
      <c r="F248" s="35"/>
      <c r="G248" s="35"/>
      <c r="H248" s="35"/>
      <c r="I248" s="34"/>
      <c r="J248" s="35"/>
      <c r="K248" s="35"/>
      <c r="L248" s="39" t="str">
        <f aca="false">IF(A248="","",IF(I248&lt;&gt;"","Vendu","En stock"))</f>
        <v/>
      </c>
      <c r="M248" s="17" t="str">
        <f aca="false">IF(J248="","",J248-F248-G248-K248)</f>
        <v/>
      </c>
      <c r="N248" s="40" t="str">
        <f aca="false">IF(OR(J248="",J248=0),"",M248/J248)</f>
        <v/>
      </c>
      <c r="O248" s="41" t="str">
        <f aca="true">IF(D248="","",IF(I248&lt;&gt;"",I248,TODAY())-D248)</f>
        <v/>
      </c>
    </row>
    <row r="249" customFormat="false" ht="15" hidden="false" customHeight="false" outlineLevel="0" collapsed="false">
      <c r="A249" s="9"/>
      <c r="B249" s="9"/>
      <c r="C249" s="9"/>
      <c r="D249" s="34"/>
      <c r="E249" s="9"/>
      <c r="F249" s="35"/>
      <c r="G249" s="35"/>
      <c r="H249" s="35"/>
      <c r="I249" s="34"/>
      <c r="J249" s="35"/>
      <c r="K249" s="35"/>
      <c r="L249" s="39" t="str">
        <f aca="false">IF(A249="","",IF(I249&lt;&gt;"","Vendu","En stock"))</f>
        <v/>
      </c>
      <c r="M249" s="17" t="str">
        <f aca="false">IF(J249="","",J249-F249-G249-K249)</f>
        <v/>
      </c>
      <c r="N249" s="40" t="str">
        <f aca="false">IF(OR(J249="",J249=0),"",M249/J249)</f>
        <v/>
      </c>
      <c r="O249" s="41" t="str">
        <f aca="true">IF(D249="","",IF(I249&lt;&gt;"",I249,TODAY())-D249)</f>
        <v/>
      </c>
    </row>
    <row r="250" customFormat="false" ht="15" hidden="false" customHeight="false" outlineLevel="0" collapsed="false">
      <c r="A250" s="9"/>
      <c r="B250" s="9"/>
      <c r="C250" s="9"/>
      <c r="D250" s="34"/>
      <c r="E250" s="9"/>
      <c r="F250" s="35"/>
      <c r="G250" s="35"/>
      <c r="H250" s="35"/>
      <c r="I250" s="34"/>
      <c r="J250" s="35"/>
      <c r="K250" s="35"/>
      <c r="L250" s="39" t="str">
        <f aca="false">IF(A250="","",IF(I250&lt;&gt;"","Vendu","En stock"))</f>
        <v/>
      </c>
      <c r="M250" s="17" t="str">
        <f aca="false">IF(J250="","",J250-F250-G250-K250)</f>
        <v/>
      </c>
      <c r="N250" s="40" t="str">
        <f aca="false">IF(OR(J250="",J250=0),"",M250/J250)</f>
        <v/>
      </c>
      <c r="O250" s="41" t="str">
        <f aca="true">IF(D250="","",IF(I250&lt;&gt;"",I250,TODAY())-D250)</f>
        <v/>
      </c>
    </row>
    <row r="251" customFormat="false" ht="15" hidden="false" customHeight="false" outlineLevel="0" collapsed="false">
      <c r="A251" s="9"/>
      <c r="B251" s="9"/>
      <c r="C251" s="9"/>
      <c r="D251" s="34"/>
      <c r="E251" s="9"/>
      <c r="F251" s="35"/>
      <c r="G251" s="35"/>
      <c r="H251" s="35"/>
      <c r="I251" s="34"/>
      <c r="J251" s="35"/>
      <c r="K251" s="35"/>
      <c r="L251" s="39" t="str">
        <f aca="false">IF(A251="","",IF(I251&lt;&gt;"","Vendu","En stock"))</f>
        <v/>
      </c>
      <c r="M251" s="17" t="str">
        <f aca="false">IF(J251="","",J251-F251-G251-K251)</f>
        <v/>
      </c>
      <c r="N251" s="40" t="str">
        <f aca="false">IF(OR(J251="",J251=0),"",M251/J251)</f>
        <v/>
      </c>
      <c r="O251" s="41" t="str">
        <f aca="true">IF(D251="","",IF(I251&lt;&gt;"",I251,TODAY())-D251)</f>
        <v/>
      </c>
    </row>
    <row r="252" customFormat="false" ht="15" hidden="false" customHeight="false" outlineLevel="0" collapsed="false">
      <c r="A252" s="9"/>
      <c r="B252" s="9"/>
      <c r="C252" s="9"/>
      <c r="D252" s="34"/>
      <c r="E252" s="9"/>
      <c r="F252" s="35"/>
      <c r="G252" s="35"/>
      <c r="H252" s="35"/>
      <c r="I252" s="34"/>
      <c r="J252" s="35"/>
      <c r="K252" s="35"/>
      <c r="L252" s="39" t="str">
        <f aca="false">IF(A252="","",IF(I252&lt;&gt;"","Vendu","En stock"))</f>
        <v/>
      </c>
      <c r="M252" s="17" t="str">
        <f aca="false">IF(J252="","",J252-F252-G252-K252)</f>
        <v/>
      </c>
      <c r="N252" s="40" t="str">
        <f aca="false">IF(OR(J252="",J252=0),"",M252/J252)</f>
        <v/>
      </c>
      <c r="O252" s="41" t="str">
        <f aca="true">IF(D252="","",IF(I252&lt;&gt;"",I252,TODAY())-D252)</f>
        <v/>
      </c>
    </row>
    <row r="253" customFormat="false" ht="15" hidden="false" customHeight="false" outlineLevel="0" collapsed="false">
      <c r="A253" s="9"/>
      <c r="B253" s="9"/>
      <c r="C253" s="9"/>
      <c r="D253" s="34"/>
      <c r="E253" s="9"/>
      <c r="F253" s="35"/>
      <c r="G253" s="35"/>
      <c r="H253" s="35"/>
      <c r="I253" s="34"/>
      <c r="J253" s="35"/>
      <c r="K253" s="35"/>
      <c r="L253" s="39" t="str">
        <f aca="false">IF(A253="","",IF(I253&lt;&gt;"","Vendu","En stock"))</f>
        <v/>
      </c>
      <c r="M253" s="17" t="str">
        <f aca="false">IF(J253="","",J253-F253-G253-K253)</f>
        <v/>
      </c>
      <c r="N253" s="40" t="str">
        <f aca="false">IF(OR(J253="",J253=0),"",M253/J253)</f>
        <v/>
      </c>
      <c r="O253" s="41" t="str">
        <f aca="true">IF(D253="","",IF(I253&lt;&gt;"",I253,TODAY())-D253)</f>
        <v/>
      </c>
    </row>
    <row r="254" customFormat="false" ht="15" hidden="false" customHeight="false" outlineLevel="0" collapsed="false">
      <c r="A254" s="9"/>
      <c r="B254" s="9"/>
      <c r="C254" s="9"/>
      <c r="D254" s="34"/>
      <c r="E254" s="9"/>
      <c r="F254" s="35"/>
      <c r="G254" s="35"/>
      <c r="H254" s="35"/>
      <c r="I254" s="34"/>
      <c r="J254" s="35"/>
      <c r="K254" s="35"/>
      <c r="L254" s="39" t="str">
        <f aca="false">IF(A254="","",IF(I254&lt;&gt;"","Vendu","En stock"))</f>
        <v/>
      </c>
      <c r="M254" s="17" t="str">
        <f aca="false">IF(J254="","",J254-F254-G254-K254)</f>
        <v/>
      </c>
      <c r="N254" s="40" t="str">
        <f aca="false">IF(OR(J254="",J254=0),"",M254/J254)</f>
        <v/>
      </c>
      <c r="O254" s="41" t="str">
        <f aca="true">IF(D254="","",IF(I254&lt;&gt;"",I254,TODAY())-D254)</f>
        <v/>
      </c>
    </row>
    <row r="255" customFormat="false" ht="15" hidden="false" customHeight="false" outlineLevel="0" collapsed="false">
      <c r="A255" s="9"/>
      <c r="B255" s="9"/>
      <c r="C255" s="9"/>
      <c r="D255" s="34"/>
      <c r="E255" s="9"/>
      <c r="F255" s="35"/>
      <c r="G255" s="35"/>
      <c r="H255" s="35"/>
      <c r="I255" s="34"/>
      <c r="J255" s="35"/>
      <c r="K255" s="35"/>
      <c r="L255" s="39" t="str">
        <f aca="false">IF(A255="","",IF(I255&lt;&gt;"","Vendu","En stock"))</f>
        <v/>
      </c>
      <c r="M255" s="17" t="str">
        <f aca="false">IF(J255="","",J255-F255-G255-K255)</f>
        <v/>
      </c>
      <c r="N255" s="40" t="str">
        <f aca="false">IF(OR(J255="",J255=0),"",M255/J255)</f>
        <v/>
      </c>
      <c r="O255" s="41" t="str">
        <f aca="true">IF(D255="","",IF(I255&lt;&gt;"",I255,TODAY())-D255)</f>
        <v/>
      </c>
    </row>
    <row r="256" customFormat="false" ht="15" hidden="false" customHeight="false" outlineLevel="0" collapsed="false">
      <c r="A256" s="9"/>
      <c r="B256" s="9"/>
      <c r="C256" s="9"/>
      <c r="D256" s="34"/>
      <c r="E256" s="9"/>
      <c r="F256" s="35"/>
      <c r="G256" s="35"/>
      <c r="H256" s="35"/>
      <c r="I256" s="34"/>
      <c r="J256" s="35"/>
      <c r="K256" s="35"/>
      <c r="L256" s="39" t="str">
        <f aca="false">IF(A256="","",IF(I256&lt;&gt;"","Vendu","En stock"))</f>
        <v/>
      </c>
      <c r="M256" s="17" t="str">
        <f aca="false">IF(J256="","",J256-F256-G256-K256)</f>
        <v/>
      </c>
      <c r="N256" s="40" t="str">
        <f aca="false">IF(OR(J256="",J256=0),"",M256/J256)</f>
        <v/>
      </c>
      <c r="O256" s="41" t="str">
        <f aca="true">IF(D256="","",IF(I256&lt;&gt;"",I256,TODAY())-D256)</f>
        <v/>
      </c>
    </row>
    <row r="257" customFormat="false" ht="15" hidden="false" customHeight="false" outlineLevel="0" collapsed="false">
      <c r="A257" s="9"/>
      <c r="B257" s="9"/>
      <c r="C257" s="9"/>
      <c r="D257" s="34"/>
      <c r="E257" s="9"/>
      <c r="F257" s="35"/>
      <c r="G257" s="35"/>
      <c r="H257" s="35"/>
      <c r="I257" s="34"/>
      <c r="J257" s="35"/>
      <c r="K257" s="35"/>
      <c r="L257" s="39" t="str">
        <f aca="false">IF(A257="","",IF(I257&lt;&gt;"","Vendu","En stock"))</f>
        <v/>
      </c>
      <c r="M257" s="17" t="str">
        <f aca="false">IF(J257="","",J257-F257-G257-K257)</f>
        <v/>
      </c>
      <c r="N257" s="40" t="str">
        <f aca="false">IF(OR(J257="",J257=0),"",M257/J257)</f>
        <v/>
      </c>
      <c r="O257" s="41" t="str">
        <f aca="true">IF(D257="","",IF(I257&lt;&gt;"",I257,TODAY())-D257)</f>
        <v/>
      </c>
    </row>
    <row r="258" customFormat="false" ht="15" hidden="false" customHeight="false" outlineLevel="0" collapsed="false">
      <c r="A258" s="9"/>
      <c r="B258" s="9"/>
      <c r="C258" s="9"/>
      <c r="D258" s="34"/>
      <c r="E258" s="9"/>
      <c r="F258" s="35"/>
      <c r="G258" s="35"/>
      <c r="H258" s="35"/>
      <c r="I258" s="34"/>
      <c r="J258" s="35"/>
      <c r="K258" s="35"/>
      <c r="L258" s="39" t="str">
        <f aca="false">IF(A258="","",IF(I258&lt;&gt;"","Vendu","En stock"))</f>
        <v/>
      </c>
      <c r="M258" s="17" t="str">
        <f aca="false">IF(J258="","",J258-F258-G258-K258)</f>
        <v/>
      </c>
      <c r="N258" s="40" t="str">
        <f aca="false">IF(OR(J258="",J258=0),"",M258/J258)</f>
        <v/>
      </c>
      <c r="O258" s="41" t="str">
        <f aca="true">IF(D258="","",IF(I258&lt;&gt;"",I258,TODAY())-D258)</f>
        <v/>
      </c>
    </row>
    <row r="259" customFormat="false" ht="15" hidden="false" customHeight="false" outlineLevel="0" collapsed="false">
      <c r="A259" s="9"/>
      <c r="B259" s="9"/>
      <c r="C259" s="9"/>
      <c r="D259" s="34"/>
      <c r="E259" s="9"/>
      <c r="F259" s="35"/>
      <c r="G259" s="35"/>
      <c r="H259" s="35"/>
      <c r="I259" s="34"/>
      <c r="J259" s="35"/>
      <c r="K259" s="35"/>
      <c r="L259" s="39" t="str">
        <f aca="false">IF(A259="","",IF(I259&lt;&gt;"","Vendu","En stock"))</f>
        <v/>
      </c>
      <c r="M259" s="17" t="str">
        <f aca="false">IF(J259="","",J259-F259-G259-K259)</f>
        <v/>
      </c>
      <c r="N259" s="40" t="str">
        <f aca="false">IF(OR(J259="",J259=0),"",M259/J259)</f>
        <v/>
      </c>
      <c r="O259" s="41" t="str">
        <f aca="true">IF(D259="","",IF(I259&lt;&gt;"",I259,TODAY())-D259)</f>
        <v/>
      </c>
    </row>
    <row r="260" customFormat="false" ht="15" hidden="false" customHeight="false" outlineLevel="0" collapsed="false">
      <c r="A260" s="9"/>
      <c r="B260" s="9"/>
      <c r="C260" s="9"/>
      <c r="D260" s="34"/>
      <c r="E260" s="9"/>
      <c r="F260" s="35"/>
      <c r="G260" s="35"/>
      <c r="H260" s="35"/>
      <c r="I260" s="34"/>
      <c r="J260" s="35"/>
      <c r="K260" s="35"/>
      <c r="L260" s="39" t="str">
        <f aca="false">IF(A260="","",IF(I260&lt;&gt;"","Vendu","En stock"))</f>
        <v/>
      </c>
      <c r="M260" s="17" t="str">
        <f aca="false">IF(J260="","",J260-F260-G260-K260)</f>
        <v/>
      </c>
      <c r="N260" s="40" t="str">
        <f aca="false">IF(OR(J260="",J260=0),"",M260/J260)</f>
        <v/>
      </c>
      <c r="O260" s="41" t="str">
        <f aca="true">IF(D260="","",IF(I260&lt;&gt;"",I260,TODAY())-D260)</f>
        <v/>
      </c>
    </row>
    <row r="261" customFormat="false" ht="15" hidden="false" customHeight="false" outlineLevel="0" collapsed="false">
      <c r="A261" s="9"/>
      <c r="B261" s="9"/>
      <c r="C261" s="9"/>
      <c r="D261" s="34"/>
      <c r="E261" s="9"/>
      <c r="F261" s="35"/>
      <c r="G261" s="35"/>
      <c r="H261" s="35"/>
      <c r="I261" s="34"/>
      <c r="J261" s="35"/>
      <c r="K261" s="35"/>
      <c r="L261" s="39" t="str">
        <f aca="false">IF(A261="","",IF(I261&lt;&gt;"","Vendu","En stock"))</f>
        <v/>
      </c>
      <c r="M261" s="17" t="str">
        <f aca="false">IF(J261="","",J261-F261-G261-K261)</f>
        <v/>
      </c>
      <c r="N261" s="40" t="str">
        <f aca="false">IF(OR(J261="",J261=0),"",M261/J261)</f>
        <v/>
      </c>
      <c r="O261" s="41" t="str">
        <f aca="true">IF(D261="","",IF(I261&lt;&gt;"",I261,TODAY())-D261)</f>
        <v/>
      </c>
    </row>
    <row r="262" customFormat="false" ht="15" hidden="false" customHeight="false" outlineLevel="0" collapsed="false">
      <c r="A262" s="9"/>
      <c r="B262" s="9"/>
      <c r="C262" s="9"/>
      <c r="D262" s="34"/>
      <c r="E262" s="9"/>
      <c r="F262" s="35"/>
      <c r="G262" s="35"/>
      <c r="H262" s="35"/>
      <c r="I262" s="34"/>
      <c r="J262" s="35"/>
      <c r="K262" s="35"/>
      <c r="L262" s="39" t="str">
        <f aca="false">IF(A262="","",IF(I262&lt;&gt;"","Vendu","En stock"))</f>
        <v/>
      </c>
      <c r="M262" s="17" t="str">
        <f aca="false">IF(J262="","",J262-F262-G262-K262)</f>
        <v/>
      </c>
      <c r="N262" s="40" t="str">
        <f aca="false">IF(OR(J262="",J262=0),"",M262/J262)</f>
        <v/>
      </c>
      <c r="O262" s="41" t="str">
        <f aca="true">IF(D262="","",IF(I262&lt;&gt;"",I262,TODAY())-D262)</f>
        <v/>
      </c>
    </row>
    <row r="263" customFormat="false" ht="15" hidden="false" customHeight="false" outlineLevel="0" collapsed="false">
      <c r="A263" s="9"/>
      <c r="B263" s="9"/>
      <c r="C263" s="9"/>
      <c r="D263" s="34"/>
      <c r="E263" s="9"/>
      <c r="F263" s="35"/>
      <c r="G263" s="35"/>
      <c r="H263" s="35"/>
      <c r="I263" s="34"/>
      <c r="J263" s="35"/>
      <c r="K263" s="35"/>
      <c r="L263" s="39" t="str">
        <f aca="false">IF(A263="","",IF(I263&lt;&gt;"","Vendu","En stock"))</f>
        <v/>
      </c>
      <c r="M263" s="17" t="str">
        <f aca="false">IF(J263="","",J263-F263-G263-K263)</f>
        <v/>
      </c>
      <c r="N263" s="40" t="str">
        <f aca="false">IF(OR(J263="",J263=0),"",M263/J263)</f>
        <v/>
      </c>
      <c r="O263" s="41" t="str">
        <f aca="true">IF(D263="","",IF(I263&lt;&gt;"",I263,TODAY())-D263)</f>
        <v/>
      </c>
    </row>
    <row r="264" customFormat="false" ht="15" hidden="false" customHeight="false" outlineLevel="0" collapsed="false">
      <c r="A264" s="9"/>
      <c r="B264" s="9"/>
      <c r="C264" s="9"/>
      <c r="D264" s="34"/>
      <c r="E264" s="9"/>
      <c r="F264" s="35"/>
      <c r="G264" s="35"/>
      <c r="H264" s="35"/>
      <c r="I264" s="34"/>
      <c r="J264" s="35"/>
      <c r="K264" s="35"/>
      <c r="L264" s="39" t="str">
        <f aca="false">IF(A264="","",IF(I264&lt;&gt;"","Vendu","En stock"))</f>
        <v/>
      </c>
      <c r="M264" s="17" t="str">
        <f aca="false">IF(J264="","",J264-F264-G264-K264)</f>
        <v/>
      </c>
      <c r="N264" s="40" t="str">
        <f aca="false">IF(OR(J264="",J264=0),"",M264/J264)</f>
        <v/>
      </c>
      <c r="O264" s="41" t="str">
        <f aca="true">IF(D264="","",IF(I264&lt;&gt;"",I264,TODAY())-D264)</f>
        <v/>
      </c>
    </row>
    <row r="265" customFormat="false" ht="15" hidden="false" customHeight="false" outlineLevel="0" collapsed="false">
      <c r="A265" s="9"/>
      <c r="B265" s="9"/>
      <c r="C265" s="9"/>
      <c r="D265" s="34"/>
      <c r="E265" s="9"/>
      <c r="F265" s="35"/>
      <c r="G265" s="35"/>
      <c r="H265" s="35"/>
      <c r="I265" s="34"/>
      <c r="J265" s="35"/>
      <c r="K265" s="35"/>
      <c r="L265" s="39" t="str">
        <f aca="false">IF(A265="","",IF(I265&lt;&gt;"","Vendu","En stock"))</f>
        <v/>
      </c>
      <c r="M265" s="17" t="str">
        <f aca="false">IF(J265="","",J265-F265-G265-K265)</f>
        <v/>
      </c>
      <c r="N265" s="40" t="str">
        <f aca="false">IF(OR(J265="",J265=0),"",M265/J265)</f>
        <v/>
      </c>
      <c r="O265" s="41" t="str">
        <f aca="true">IF(D265="","",IF(I265&lt;&gt;"",I265,TODAY())-D265)</f>
        <v/>
      </c>
    </row>
    <row r="266" customFormat="false" ht="15" hidden="false" customHeight="false" outlineLevel="0" collapsed="false">
      <c r="A266" s="9"/>
      <c r="B266" s="9"/>
      <c r="C266" s="9"/>
      <c r="D266" s="34"/>
      <c r="E266" s="9"/>
      <c r="F266" s="35"/>
      <c r="G266" s="35"/>
      <c r="H266" s="35"/>
      <c r="I266" s="34"/>
      <c r="J266" s="35"/>
      <c r="K266" s="35"/>
      <c r="L266" s="39" t="str">
        <f aca="false">IF(A266="","",IF(I266&lt;&gt;"","Vendu","En stock"))</f>
        <v/>
      </c>
      <c r="M266" s="17" t="str">
        <f aca="false">IF(J266="","",J266-F266-G266-K266)</f>
        <v/>
      </c>
      <c r="N266" s="40" t="str">
        <f aca="false">IF(OR(J266="",J266=0),"",M266/J266)</f>
        <v/>
      </c>
      <c r="O266" s="41" t="str">
        <f aca="true">IF(D266="","",IF(I266&lt;&gt;"",I266,TODAY())-D266)</f>
        <v/>
      </c>
    </row>
    <row r="267" customFormat="false" ht="15" hidden="false" customHeight="false" outlineLevel="0" collapsed="false">
      <c r="A267" s="9"/>
      <c r="B267" s="9"/>
      <c r="C267" s="9"/>
      <c r="D267" s="34"/>
      <c r="E267" s="9"/>
      <c r="F267" s="35"/>
      <c r="G267" s="35"/>
      <c r="H267" s="35"/>
      <c r="I267" s="34"/>
      <c r="J267" s="35"/>
      <c r="K267" s="35"/>
      <c r="L267" s="39" t="str">
        <f aca="false">IF(A267="","",IF(I267&lt;&gt;"","Vendu","En stock"))</f>
        <v/>
      </c>
      <c r="M267" s="17" t="str">
        <f aca="false">IF(J267="","",J267-F267-G267-K267)</f>
        <v/>
      </c>
      <c r="N267" s="40" t="str">
        <f aca="false">IF(OR(J267="",J267=0),"",M267/J267)</f>
        <v/>
      </c>
      <c r="O267" s="41" t="str">
        <f aca="true">IF(D267="","",IF(I267&lt;&gt;"",I267,TODAY())-D267)</f>
        <v/>
      </c>
    </row>
    <row r="268" customFormat="false" ht="15" hidden="false" customHeight="false" outlineLevel="0" collapsed="false">
      <c r="A268" s="9"/>
      <c r="B268" s="9"/>
      <c r="C268" s="9"/>
      <c r="D268" s="34"/>
      <c r="E268" s="9"/>
      <c r="F268" s="35"/>
      <c r="G268" s="35"/>
      <c r="H268" s="35"/>
      <c r="I268" s="34"/>
      <c r="J268" s="35"/>
      <c r="K268" s="35"/>
      <c r="L268" s="39" t="str">
        <f aca="false">IF(A268="","",IF(I268&lt;&gt;"","Vendu","En stock"))</f>
        <v/>
      </c>
      <c r="M268" s="17" t="str">
        <f aca="false">IF(J268="","",J268-F268-G268-K268)</f>
        <v/>
      </c>
      <c r="N268" s="40" t="str">
        <f aca="false">IF(OR(J268="",J268=0),"",M268/J268)</f>
        <v/>
      </c>
      <c r="O268" s="41" t="str">
        <f aca="true">IF(D268="","",IF(I268&lt;&gt;"",I268,TODAY())-D268)</f>
        <v/>
      </c>
    </row>
    <row r="269" customFormat="false" ht="15" hidden="false" customHeight="false" outlineLevel="0" collapsed="false">
      <c r="A269" s="9"/>
      <c r="B269" s="9"/>
      <c r="C269" s="9"/>
      <c r="D269" s="34"/>
      <c r="E269" s="9"/>
      <c r="F269" s="35"/>
      <c r="G269" s="35"/>
      <c r="H269" s="35"/>
      <c r="I269" s="34"/>
      <c r="J269" s="35"/>
      <c r="K269" s="35"/>
      <c r="L269" s="39" t="str">
        <f aca="false">IF(A269="","",IF(I269&lt;&gt;"","Vendu","En stock"))</f>
        <v/>
      </c>
      <c r="M269" s="17" t="str">
        <f aca="false">IF(J269="","",J269-F269-G269-K269)</f>
        <v/>
      </c>
      <c r="N269" s="40" t="str">
        <f aca="false">IF(OR(J269="",J269=0),"",M269/J269)</f>
        <v/>
      </c>
      <c r="O269" s="41" t="str">
        <f aca="true">IF(D269="","",IF(I269&lt;&gt;"",I269,TODAY())-D269)</f>
        <v/>
      </c>
    </row>
    <row r="270" customFormat="false" ht="15" hidden="false" customHeight="false" outlineLevel="0" collapsed="false">
      <c r="A270" s="9"/>
      <c r="B270" s="9"/>
      <c r="C270" s="9"/>
      <c r="D270" s="34"/>
      <c r="E270" s="9"/>
      <c r="F270" s="35"/>
      <c r="G270" s="35"/>
      <c r="H270" s="35"/>
      <c r="I270" s="34"/>
      <c r="J270" s="35"/>
      <c r="K270" s="35"/>
      <c r="L270" s="39" t="str">
        <f aca="false">IF(A270="","",IF(I270&lt;&gt;"","Vendu","En stock"))</f>
        <v/>
      </c>
      <c r="M270" s="17" t="str">
        <f aca="false">IF(J270="","",J270-F270-G270-K270)</f>
        <v/>
      </c>
      <c r="N270" s="40" t="str">
        <f aca="false">IF(OR(J270="",J270=0),"",M270/J270)</f>
        <v/>
      </c>
      <c r="O270" s="41" t="str">
        <f aca="true">IF(D270="","",IF(I270&lt;&gt;"",I270,TODAY())-D270)</f>
        <v/>
      </c>
    </row>
    <row r="271" customFormat="false" ht="15" hidden="false" customHeight="false" outlineLevel="0" collapsed="false">
      <c r="A271" s="9"/>
      <c r="B271" s="9"/>
      <c r="C271" s="9"/>
      <c r="D271" s="34"/>
      <c r="E271" s="9"/>
      <c r="F271" s="35"/>
      <c r="G271" s="35"/>
      <c r="H271" s="35"/>
      <c r="I271" s="34"/>
      <c r="J271" s="35"/>
      <c r="K271" s="35"/>
      <c r="L271" s="39" t="str">
        <f aca="false">IF(A271="","",IF(I271&lt;&gt;"","Vendu","En stock"))</f>
        <v/>
      </c>
      <c r="M271" s="17" t="str">
        <f aca="false">IF(J271="","",J271-F271-G271-K271)</f>
        <v/>
      </c>
      <c r="N271" s="40" t="str">
        <f aca="false">IF(OR(J271="",J271=0),"",M271/J271)</f>
        <v/>
      </c>
      <c r="O271" s="41" t="str">
        <f aca="true">IF(D271="","",IF(I271&lt;&gt;"",I271,TODAY())-D271)</f>
        <v/>
      </c>
    </row>
    <row r="272" customFormat="false" ht="15" hidden="false" customHeight="false" outlineLevel="0" collapsed="false">
      <c r="A272" s="9"/>
      <c r="B272" s="9"/>
      <c r="C272" s="9"/>
      <c r="D272" s="34"/>
      <c r="E272" s="9"/>
      <c r="F272" s="35"/>
      <c r="G272" s="35"/>
      <c r="H272" s="35"/>
      <c r="I272" s="34"/>
      <c r="J272" s="35"/>
      <c r="K272" s="35"/>
      <c r="L272" s="39" t="str">
        <f aca="false">IF(A272="","",IF(I272&lt;&gt;"","Vendu","En stock"))</f>
        <v/>
      </c>
      <c r="M272" s="17" t="str">
        <f aca="false">IF(J272="","",J272-F272-G272-K272)</f>
        <v/>
      </c>
      <c r="N272" s="40" t="str">
        <f aca="false">IF(OR(J272="",J272=0),"",M272/J272)</f>
        <v/>
      </c>
      <c r="O272" s="41" t="str">
        <f aca="true">IF(D272="","",IF(I272&lt;&gt;"",I272,TODAY())-D272)</f>
        <v/>
      </c>
    </row>
    <row r="273" customFormat="false" ht="15" hidden="false" customHeight="false" outlineLevel="0" collapsed="false">
      <c r="A273" s="9"/>
      <c r="B273" s="9"/>
      <c r="C273" s="9"/>
      <c r="D273" s="34"/>
      <c r="E273" s="9"/>
      <c r="F273" s="35"/>
      <c r="G273" s="35"/>
      <c r="H273" s="35"/>
      <c r="I273" s="34"/>
      <c r="J273" s="35"/>
      <c r="K273" s="35"/>
      <c r="L273" s="39" t="str">
        <f aca="false">IF(A273="","",IF(I273&lt;&gt;"","Vendu","En stock"))</f>
        <v/>
      </c>
      <c r="M273" s="17" t="str">
        <f aca="false">IF(J273="","",J273-F273-G273-K273)</f>
        <v/>
      </c>
      <c r="N273" s="40" t="str">
        <f aca="false">IF(OR(J273="",J273=0),"",M273/J273)</f>
        <v/>
      </c>
      <c r="O273" s="41" t="str">
        <f aca="true">IF(D273="","",IF(I273&lt;&gt;"",I273,TODAY())-D273)</f>
        <v/>
      </c>
    </row>
    <row r="274" customFormat="false" ht="15" hidden="false" customHeight="false" outlineLevel="0" collapsed="false">
      <c r="A274" s="9"/>
      <c r="B274" s="9"/>
      <c r="C274" s="9"/>
      <c r="D274" s="34"/>
      <c r="E274" s="9"/>
      <c r="F274" s="35"/>
      <c r="G274" s="35"/>
      <c r="H274" s="35"/>
      <c r="I274" s="34"/>
      <c r="J274" s="35"/>
      <c r="K274" s="35"/>
      <c r="L274" s="39" t="str">
        <f aca="false">IF(A274="","",IF(I274&lt;&gt;"","Vendu","En stock"))</f>
        <v/>
      </c>
      <c r="M274" s="17" t="str">
        <f aca="false">IF(J274="","",J274-F274-G274-K274)</f>
        <v/>
      </c>
      <c r="N274" s="40" t="str">
        <f aca="false">IF(OR(J274="",J274=0),"",M274/J274)</f>
        <v/>
      </c>
      <c r="O274" s="41" t="str">
        <f aca="true">IF(D274="","",IF(I274&lt;&gt;"",I274,TODAY())-D274)</f>
        <v/>
      </c>
    </row>
    <row r="275" customFormat="false" ht="15" hidden="false" customHeight="false" outlineLevel="0" collapsed="false">
      <c r="A275" s="9"/>
      <c r="B275" s="9"/>
      <c r="C275" s="9"/>
      <c r="D275" s="34"/>
      <c r="E275" s="9"/>
      <c r="F275" s="35"/>
      <c r="G275" s="35"/>
      <c r="H275" s="35"/>
      <c r="I275" s="34"/>
      <c r="J275" s="35"/>
      <c r="K275" s="35"/>
      <c r="L275" s="39" t="str">
        <f aca="false">IF(A275="","",IF(I275&lt;&gt;"","Vendu","En stock"))</f>
        <v/>
      </c>
      <c r="M275" s="17" t="str">
        <f aca="false">IF(J275="","",J275-F275-G275-K275)</f>
        <v/>
      </c>
      <c r="N275" s="40" t="str">
        <f aca="false">IF(OR(J275="",J275=0),"",M275/J275)</f>
        <v/>
      </c>
      <c r="O275" s="41" t="str">
        <f aca="true">IF(D275="","",IF(I275&lt;&gt;"",I275,TODAY())-D275)</f>
        <v/>
      </c>
    </row>
    <row r="276" customFormat="false" ht="15" hidden="false" customHeight="false" outlineLevel="0" collapsed="false">
      <c r="A276" s="9"/>
      <c r="B276" s="9"/>
      <c r="C276" s="9"/>
      <c r="D276" s="34"/>
      <c r="E276" s="9"/>
      <c r="F276" s="35"/>
      <c r="G276" s="35"/>
      <c r="H276" s="35"/>
      <c r="I276" s="34"/>
      <c r="J276" s="35"/>
      <c r="K276" s="35"/>
      <c r="L276" s="39" t="str">
        <f aca="false">IF(A276="","",IF(I276&lt;&gt;"","Vendu","En stock"))</f>
        <v/>
      </c>
      <c r="M276" s="17" t="str">
        <f aca="false">IF(J276="","",J276-F276-G276-K276)</f>
        <v/>
      </c>
      <c r="N276" s="40" t="str">
        <f aca="false">IF(OR(J276="",J276=0),"",M276/J276)</f>
        <v/>
      </c>
      <c r="O276" s="41" t="str">
        <f aca="true">IF(D276="","",IF(I276&lt;&gt;"",I276,TODAY())-D276)</f>
        <v/>
      </c>
    </row>
    <row r="277" customFormat="false" ht="15" hidden="false" customHeight="false" outlineLevel="0" collapsed="false">
      <c r="A277" s="9"/>
      <c r="B277" s="9"/>
      <c r="C277" s="9"/>
      <c r="D277" s="34"/>
      <c r="E277" s="9"/>
      <c r="F277" s="35"/>
      <c r="G277" s="35"/>
      <c r="H277" s="35"/>
      <c r="I277" s="34"/>
      <c r="J277" s="35"/>
      <c r="K277" s="35"/>
      <c r="L277" s="39" t="str">
        <f aca="false">IF(A277="","",IF(I277&lt;&gt;"","Vendu","En stock"))</f>
        <v/>
      </c>
      <c r="M277" s="17" t="str">
        <f aca="false">IF(J277="","",J277-F277-G277-K277)</f>
        <v/>
      </c>
      <c r="N277" s="40" t="str">
        <f aca="false">IF(OR(J277="",J277=0),"",M277/J277)</f>
        <v/>
      </c>
      <c r="O277" s="41" t="str">
        <f aca="true">IF(D277="","",IF(I277&lt;&gt;"",I277,TODAY())-D277)</f>
        <v/>
      </c>
    </row>
    <row r="278" customFormat="false" ht="15" hidden="false" customHeight="false" outlineLevel="0" collapsed="false">
      <c r="A278" s="9"/>
      <c r="B278" s="9"/>
      <c r="C278" s="9"/>
      <c r="D278" s="34"/>
      <c r="E278" s="9"/>
      <c r="F278" s="35"/>
      <c r="G278" s="35"/>
      <c r="H278" s="35"/>
      <c r="I278" s="34"/>
      <c r="J278" s="35"/>
      <c r="K278" s="35"/>
      <c r="L278" s="39" t="str">
        <f aca="false">IF(A278="","",IF(I278&lt;&gt;"","Vendu","En stock"))</f>
        <v/>
      </c>
      <c r="M278" s="17" t="str">
        <f aca="false">IF(J278="","",J278-F278-G278-K278)</f>
        <v/>
      </c>
      <c r="N278" s="40" t="str">
        <f aca="false">IF(OR(J278="",J278=0),"",M278/J278)</f>
        <v/>
      </c>
      <c r="O278" s="41" t="str">
        <f aca="true">IF(D278="","",IF(I278&lt;&gt;"",I278,TODAY())-D278)</f>
        <v/>
      </c>
    </row>
    <row r="279" customFormat="false" ht="15" hidden="false" customHeight="false" outlineLevel="0" collapsed="false">
      <c r="A279" s="9"/>
      <c r="B279" s="9"/>
      <c r="C279" s="9"/>
      <c r="D279" s="34"/>
      <c r="E279" s="9"/>
      <c r="F279" s="35"/>
      <c r="G279" s="35"/>
      <c r="H279" s="35"/>
      <c r="I279" s="34"/>
      <c r="J279" s="35"/>
      <c r="K279" s="35"/>
      <c r="L279" s="39" t="str">
        <f aca="false">IF(A279="","",IF(I279&lt;&gt;"","Vendu","En stock"))</f>
        <v/>
      </c>
      <c r="M279" s="17" t="str">
        <f aca="false">IF(J279="","",J279-F279-G279-K279)</f>
        <v/>
      </c>
      <c r="N279" s="40" t="str">
        <f aca="false">IF(OR(J279="",J279=0),"",M279/J279)</f>
        <v/>
      </c>
      <c r="O279" s="41" t="str">
        <f aca="true">IF(D279="","",IF(I279&lt;&gt;"",I279,TODAY())-D279)</f>
        <v/>
      </c>
    </row>
    <row r="280" customFormat="false" ht="15" hidden="false" customHeight="false" outlineLevel="0" collapsed="false">
      <c r="A280" s="9"/>
      <c r="B280" s="9"/>
      <c r="C280" s="9"/>
      <c r="D280" s="34"/>
      <c r="E280" s="9"/>
      <c r="F280" s="35"/>
      <c r="G280" s="35"/>
      <c r="H280" s="35"/>
      <c r="I280" s="34"/>
      <c r="J280" s="35"/>
      <c r="K280" s="35"/>
      <c r="L280" s="39" t="str">
        <f aca="false">IF(A280="","",IF(I280&lt;&gt;"","Vendu","En stock"))</f>
        <v/>
      </c>
      <c r="M280" s="17" t="str">
        <f aca="false">IF(J280="","",J280-F280-G280-K280)</f>
        <v/>
      </c>
      <c r="N280" s="40" t="str">
        <f aca="false">IF(OR(J280="",J280=0),"",M280/J280)</f>
        <v/>
      </c>
      <c r="O280" s="41" t="str">
        <f aca="true">IF(D280="","",IF(I280&lt;&gt;"",I280,TODAY())-D280)</f>
        <v/>
      </c>
    </row>
    <row r="281" customFormat="false" ht="15" hidden="false" customHeight="false" outlineLevel="0" collapsed="false">
      <c r="A281" s="9"/>
      <c r="B281" s="9"/>
      <c r="C281" s="9"/>
      <c r="D281" s="34"/>
      <c r="E281" s="9"/>
      <c r="F281" s="35"/>
      <c r="G281" s="35"/>
      <c r="H281" s="35"/>
      <c r="I281" s="34"/>
      <c r="J281" s="35"/>
      <c r="K281" s="35"/>
      <c r="L281" s="39" t="str">
        <f aca="false">IF(A281="","",IF(I281&lt;&gt;"","Vendu","En stock"))</f>
        <v/>
      </c>
      <c r="M281" s="17" t="str">
        <f aca="false">IF(J281="","",J281-F281-G281-K281)</f>
        <v/>
      </c>
      <c r="N281" s="40" t="str">
        <f aca="false">IF(OR(J281="",J281=0),"",M281/J281)</f>
        <v/>
      </c>
      <c r="O281" s="41" t="str">
        <f aca="true">IF(D281="","",IF(I281&lt;&gt;"",I281,TODAY())-D281)</f>
        <v/>
      </c>
    </row>
    <row r="282" customFormat="false" ht="15" hidden="false" customHeight="false" outlineLevel="0" collapsed="false">
      <c r="A282" s="9"/>
      <c r="B282" s="9"/>
      <c r="C282" s="9"/>
      <c r="D282" s="34"/>
      <c r="E282" s="9"/>
      <c r="F282" s="35"/>
      <c r="G282" s="35"/>
      <c r="H282" s="35"/>
      <c r="I282" s="34"/>
      <c r="J282" s="35"/>
      <c r="K282" s="35"/>
      <c r="L282" s="39" t="str">
        <f aca="false">IF(A282="","",IF(I282&lt;&gt;"","Vendu","En stock"))</f>
        <v/>
      </c>
      <c r="M282" s="17" t="str">
        <f aca="false">IF(J282="","",J282-F282-G282-K282)</f>
        <v/>
      </c>
      <c r="N282" s="40" t="str">
        <f aca="false">IF(OR(J282="",J282=0),"",M282/J282)</f>
        <v/>
      </c>
      <c r="O282" s="41" t="str">
        <f aca="true">IF(D282="","",IF(I282&lt;&gt;"",I282,TODAY())-D282)</f>
        <v/>
      </c>
    </row>
    <row r="283" customFormat="false" ht="15" hidden="false" customHeight="false" outlineLevel="0" collapsed="false">
      <c r="A283" s="9"/>
      <c r="B283" s="9"/>
      <c r="C283" s="9"/>
      <c r="D283" s="34"/>
      <c r="E283" s="9"/>
      <c r="F283" s="35"/>
      <c r="G283" s="35"/>
      <c r="H283" s="35"/>
      <c r="I283" s="34"/>
      <c r="J283" s="35"/>
      <c r="K283" s="35"/>
      <c r="L283" s="39" t="str">
        <f aca="false">IF(A283="","",IF(I283&lt;&gt;"","Vendu","En stock"))</f>
        <v/>
      </c>
      <c r="M283" s="17" t="str">
        <f aca="false">IF(J283="","",J283-F283-G283-K283)</f>
        <v/>
      </c>
      <c r="N283" s="40" t="str">
        <f aca="false">IF(OR(J283="",J283=0),"",M283/J283)</f>
        <v/>
      </c>
      <c r="O283" s="41" t="str">
        <f aca="true">IF(D283="","",IF(I283&lt;&gt;"",I283,TODAY())-D283)</f>
        <v/>
      </c>
    </row>
    <row r="284" customFormat="false" ht="15" hidden="false" customHeight="false" outlineLevel="0" collapsed="false">
      <c r="A284" s="9"/>
      <c r="B284" s="9"/>
      <c r="C284" s="9"/>
      <c r="D284" s="34"/>
      <c r="E284" s="9"/>
      <c r="F284" s="35"/>
      <c r="G284" s="35"/>
      <c r="H284" s="35"/>
      <c r="I284" s="34"/>
      <c r="J284" s="35"/>
      <c r="K284" s="35"/>
      <c r="L284" s="39" t="str">
        <f aca="false">IF(A284="","",IF(I284&lt;&gt;"","Vendu","En stock"))</f>
        <v/>
      </c>
      <c r="M284" s="17" t="str">
        <f aca="false">IF(J284="","",J284-F284-G284-K284)</f>
        <v/>
      </c>
      <c r="N284" s="40" t="str">
        <f aca="false">IF(OR(J284="",J284=0),"",M284/J284)</f>
        <v/>
      </c>
      <c r="O284" s="41" t="str">
        <f aca="true">IF(D284="","",IF(I284&lt;&gt;"",I284,TODAY())-D284)</f>
        <v/>
      </c>
    </row>
    <row r="285" customFormat="false" ht="15" hidden="false" customHeight="false" outlineLevel="0" collapsed="false">
      <c r="A285" s="9"/>
      <c r="B285" s="9"/>
      <c r="C285" s="9"/>
      <c r="D285" s="34"/>
      <c r="E285" s="9"/>
      <c r="F285" s="35"/>
      <c r="G285" s="35"/>
      <c r="H285" s="35"/>
      <c r="I285" s="34"/>
      <c r="J285" s="35"/>
      <c r="K285" s="35"/>
      <c r="L285" s="39" t="str">
        <f aca="false">IF(A285="","",IF(I285&lt;&gt;"","Vendu","En stock"))</f>
        <v/>
      </c>
      <c r="M285" s="17" t="str">
        <f aca="false">IF(J285="","",J285-F285-G285-K285)</f>
        <v/>
      </c>
      <c r="N285" s="40" t="str">
        <f aca="false">IF(OR(J285="",J285=0),"",M285/J285)</f>
        <v/>
      </c>
      <c r="O285" s="41" t="str">
        <f aca="true">IF(D285="","",IF(I285&lt;&gt;"",I285,TODAY())-D285)</f>
        <v/>
      </c>
    </row>
    <row r="286" customFormat="false" ht="15" hidden="false" customHeight="false" outlineLevel="0" collapsed="false">
      <c r="A286" s="9"/>
      <c r="B286" s="9"/>
      <c r="C286" s="9"/>
      <c r="D286" s="34"/>
      <c r="E286" s="9"/>
      <c r="F286" s="35"/>
      <c r="G286" s="35"/>
      <c r="H286" s="35"/>
      <c r="I286" s="34"/>
      <c r="J286" s="35"/>
      <c r="K286" s="35"/>
      <c r="L286" s="39" t="str">
        <f aca="false">IF(A286="","",IF(I286&lt;&gt;"","Vendu","En stock"))</f>
        <v/>
      </c>
      <c r="M286" s="17" t="str">
        <f aca="false">IF(J286="","",J286-F286-G286-K286)</f>
        <v/>
      </c>
      <c r="N286" s="40" t="str">
        <f aca="false">IF(OR(J286="",J286=0),"",M286/J286)</f>
        <v/>
      </c>
      <c r="O286" s="41" t="str">
        <f aca="true">IF(D286="","",IF(I286&lt;&gt;"",I286,TODAY())-D286)</f>
        <v/>
      </c>
    </row>
    <row r="287" customFormat="false" ht="15" hidden="false" customHeight="false" outlineLevel="0" collapsed="false">
      <c r="A287" s="9"/>
      <c r="B287" s="9"/>
      <c r="C287" s="9"/>
      <c r="D287" s="34"/>
      <c r="E287" s="9"/>
      <c r="F287" s="35"/>
      <c r="G287" s="35"/>
      <c r="H287" s="35"/>
      <c r="I287" s="34"/>
      <c r="J287" s="35"/>
      <c r="K287" s="35"/>
      <c r="L287" s="39" t="str">
        <f aca="false">IF(A287="","",IF(I287&lt;&gt;"","Vendu","En stock"))</f>
        <v/>
      </c>
      <c r="M287" s="17" t="str">
        <f aca="false">IF(J287="","",J287-F287-G287-K287)</f>
        <v/>
      </c>
      <c r="N287" s="40" t="str">
        <f aca="false">IF(OR(J287="",J287=0),"",M287/J287)</f>
        <v/>
      </c>
      <c r="O287" s="41" t="str">
        <f aca="true">IF(D287="","",IF(I287&lt;&gt;"",I287,TODAY())-D287)</f>
        <v/>
      </c>
    </row>
    <row r="288" customFormat="false" ht="15" hidden="false" customHeight="false" outlineLevel="0" collapsed="false">
      <c r="A288" s="9"/>
      <c r="B288" s="9"/>
      <c r="C288" s="9"/>
      <c r="D288" s="34"/>
      <c r="E288" s="9"/>
      <c r="F288" s="35"/>
      <c r="G288" s="35"/>
      <c r="H288" s="35"/>
      <c r="I288" s="34"/>
      <c r="J288" s="35"/>
      <c r="K288" s="35"/>
      <c r="L288" s="39" t="str">
        <f aca="false">IF(A288="","",IF(I288&lt;&gt;"","Vendu","En stock"))</f>
        <v/>
      </c>
      <c r="M288" s="17" t="str">
        <f aca="false">IF(J288="","",J288-F288-G288-K288)</f>
        <v/>
      </c>
      <c r="N288" s="40" t="str">
        <f aca="false">IF(OR(J288="",J288=0),"",M288/J288)</f>
        <v/>
      </c>
      <c r="O288" s="41" t="str">
        <f aca="true">IF(D288="","",IF(I288&lt;&gt;"",I288,TODAY())-D288)</f>
        <v/>
      </c>
    </row>
    <row r="289" customFormat="false" ht="15" hidden="false" customHeight="false" outlineLevel="0" collapsed="false">
      <c r="A289" s="9"/>
      <c r="B289" s="9"/>
      <c r="C289" s="9"/>
      <c r="D289" s="34"/>
      <c r="E289" s="9"/>
      <c r="F289" s="35"/>
      <c r="G289" s="35"/>
      <c r="H289" s="35"/>
      <c r="I289" s="34"/>
      <c r="J289" s="35"/>
      <c r="K289" s="35"/>
      <c r="L289" s="39" t="str">
        <f aca="false">IF(A289="","",IF(I289&lt;&gt;"","Vendu","En stock"))</f>
        <v/>
      </c>
      <c r="M289" s="17" t="str">
        <f aca="false">IF(J289="","",J289-F289-G289-K289)</f>
        <v/>
      </c>
      <c r="N289" s="40" t="str">
        <f aca="false">IF(OR(J289="",J289=0),"",M289/J289)</f>
        <v/>
      </c>
      <c r="O289" s="41" t="str">
        <f aca="true">IF(D289="","",IF(I289&lt;&gt;"",I289,TODAY())-D289)</f>
        <v/>
      </c>
    </row>
    <row r="290" customFormat="false" ht="15" hidden="false" customHeight="false" outlineLevel="0" collapsed="false">
      <c r="A290" s="9"/>
      <c r="B290" s="9"/>
      <c r="C290" s="9"/>
      <c r="D290" s="34"/>
      <c r="E290" s="9"/>
      <c r="F290" s="35"/>
      <c r="G290" s="35"/>
      <c r="H290" s="35"/>
      <c r="I290" s="34"/>
      <c r="J290" s="35"/>
      <c r="K290" s="35"/>
      <c r="L290" s="39" t="str">
        <f aca="false">IF(A290="","",IF(I290&lt;&gt;"","Vendu","En stock"))</f>
        <v/>
      </c>
      <c r="M290" s="17" t="str">
        <f aca="false">IF(J290="","",J290-F290-G290-K290)</f>
        <v/>
      </c>
      <c r="N290" s="40" t="str">
        <f aca="false">IF(OR(J290="",J290=0),"",M290/J290)</f>
        <v/>
      </c>
      <c r="O290" s="41" t="str">
        <f aca="true">IF(D290="","",IF(I290&lt;&gt;"",I290,TODAY())-D290)</f>
        <v/>
      </c>
    </row>
    <row r="291" customFormat="false" ht="15" hidden="false" customHeight="false" outlineLevel="0" collapsed="false">
      <c r="A291" s="9"/>
      <c r="B291" s="9"/>
      <c r="C291" s="9"/>
      <c r="D291" s="34"/>
      <c r="E291" s="9"/>
      <c r="F291" s="35"/>
      <c r="G291" s="35"/>
      <c r="H291" s="35"/>
      <c r="I291" s="34"/>
      <c r="J291" s="35"/>
      <c r="K291" s="35"/>
      <c r="L291" s="39" t="str">
        <f aca="false">IF(A291="","",IF(I291&lt;&gt;"","Vendu","En stock"))</f>
        <v/>
      </c>
      <c r="M291" s="17" t="str">
        <f aca="false">IF(J291="","",J291-F291-G291-K291)</f>
        <v/>
      </c>
      <c r="N291" s="40" t="str">
        <f aca="false">IF(OR(J291="",J291=0),"",M291/J291)</f>
        <v/>
      </c>
      <c r="O291" s="41" t="str">
        <f aca="true">IF(D291="","",IF(I291&lt;&gt;"",I291,TODAY())-D291)</f>
        <v/>
      </c>
    </row>
    <row r="292" customFormat="false" ht="15" hidden="false" customHeight="false" outlineLevel="0" collapsed="false">
      <c r="A292" s="9"/>
      <c r="B292" s="9"/>
      <c r="C292" s="9"/>
      <c r="D292" s="34"/>
      <c r="E292" s="9"/>
      <c r="F292" s="35"/>
      <c r="G292" s="35"/>
      <c r="H292" s="35"/>
      <c r="I292" s="34"/>
      <c r="J292" s="35"/>
      <c r="K292" s="35"/>
      <c r="L292" s="39" t="str">
        <f aca="false">IF(A292="","",IF(I292&lt;&gt;"","Vendu","En stock"))</f>
        <v/>
      </c>
      <c r="M292" s="17" t="str">
        <f aca="false">IF(J292="","",J292-F292-G292-K292)</f>
        <v/>
      </c>
      <c r="N292" s="40" t="str">
        <f aca="false">IF(OR(J292="",J292=0),"",M292/J292)</f>
        <v/>
      </c>
      <c r="O292" s="41" t="str">
        <f aca="true">IF(D292="","",IF(I292&lt;&gt;"",I292,TODAY())-D292)</f>
        <v/>
      </c>
    </row>
    <row r="293" customFormat="false" ht="15" hidden="false" customHeight="false" outlineLevel="0" collapsed="false">
      <c r="A293" s="9"/>
      <c r="B293" s="9"/>
      <c r="C293" s="9"/>
      <c r="D293" s="34"/>
      <c r="E293" s="9"/>
      <c r="F293" s="35"/>
      <c r="G293" s="35"/>
      <c r="H293" s="35"/>
      <c r="I293" s="34"/>
      <c r="J293" s="35"/>
      <c r="K293" s="35"/>
      <c r="L293" s="39" t="str">
        <f aca="false">IF(A293="","",IF(I293&lt;&gt;"","Vendu","En stock"))</f>
        <v/>
      </c>
      <c r="M293" s="17" t="str">
        <f aca="false">IF(J293="","",J293-F293-G293-K293)</f>
        <v/>
      </c>
      <c r="N293" s="40" t="str">
        <f aca="false">IF(OR(J293="",J293=0),"",M293/J293)</f>
        <v/>
      </c>
      <c r="O293" s="41" t="str">
        <f aca="true">IF(D293="","",IF(I293&lt;&gt;"",I293,TODAY())-D293)</f>
        <v/>
      </c>
    </row>
    <row r="294" customFormat="false" ht="15" hidden="false" customHeight="false" outlineLevel="0" collapsed="false">
      <c r="A294" s="9"/>
      <c r="B294" s="9"/>
      <c r="C294" s="9"/>
      <c r="D294" s="34"/>
      <c r="E294" s="9"/>
      <c r="F294" s="35"/>
      <c r="G294" s="35"/>
      <c r="H294" s="35"/>
      <c r="I294" s="34"/>
      <c r="J294" s="35"/>
      <c r="K294" s="35"/>
      <c r="L294" s="39" t="str">
        <f aca="false">IF(A294="","",IF(I294&lt;&gt;"","Vendu","En stock"))</f>
        <v/>
      </c>
      <c r="M294" s="17" t="str">
        <f aca="false">IF(J294="","",J294-F294-G294-K294)</f>
        <v/>
      </c>
      <c r="N294" s="40" t="str">
        <f aca="false">IF(OR(J294="",J294=0),"",M294/J294)</f>
        <v/>
      </c>
      <c r="O294" s="41" t="str">
        <f aca="true">IF(D294="","",IF(I294&lt;&gt;"",I294,TODAY())-D294)</f>
        <v/>
      </c>
    </row>
    <row r="295" customFormat="false" ht="15" hidden="false" customHeight="false" outlineLevel="0" collapsed="false">
      <c r="A295" s="9"/>
      <c r="B295" s="9"/>
      <c r="C295" s="9"/>
      <c r="D295" s="34"/>
      <c r="E295" s="9"/>
      <c r="F295" s="35"/>
      <c r="G295" s="35"/>
      <c r="H295" s="35"/>
      <c r="I295" s="34"/>
      <c r="J295" s="35"/>
      <c r="K295" s="35"/>
      <c r="L295" s="39" t="str">
        <f aca="false">IF(A295="","",IF(I295&lt;&gt;"","Vendu","En stock"))</f>
        <v/>
      </c>
      <c r="M295" s="17" t="str">
        <f aca="false">IF(J295="","",J295-F295-G295-K295)</f>
        <v/>
      </c>
      <c r="N295" s="40" t="str">
        <f aca="false">IF(OR(J295="",J295=0),"",M295/J295)</f>
        <v/>
      </c>
      <c r="O295" s="41" t="str">
        <f aca="true">IF(D295="","",IF(I295&lt;&gt;"",I295,TODAY())-D295)</f>
        <v/>
      </c>
    </row>
    <row r="296" customFormat="false" ht="15" hidden="false" customHeight="false" outlineLevel="0" collapsed="false">
      <c r="A296" s="9"/>
      <c r="B296" s="9"/>
      <c r="C296" s="9"/>
      <c r="D296" s="34"/>
      <c r="E296" s="9"/>
      <c r="F296" s="35"/>
      <c r="G296" s="35"/>
      <c r="H296" s="35"/>
      <c r="I296" s="34"/>
      <c r="J296" s="35"/>
      <c r="K296" s="35"/>
      <c r="L296" s="39" t="str">
        <f aca="false">IF(A296="","",IF(I296&lt;&gt;"","Vendu","En stock"))</f>
        <v/>
      </c>
      <c r="M296" s="17" t="str">
        <f aca="false">IF(J296="","",J296-F296-G296-K296)</f>
        <v/>
      </c>
      <c r="N296" s="40" t="str">
        <f aca="false">IF(OR(J296="",J296=0),"",M296/J296)</f>
        <v/>
      </c>
      <c r="O296" s="41" t="str">
        <f aca="true">IF(D296="","",IF(I296&lt;&gt;"",I296,TODAY())-D296)</f>
        <v/>
      </c>
    </row>
    <row r="297" customFormat="false" ht="15" hidden="false" customHeight="false" outlineLevel="0" collapsed="false">
      <c r="A297" s="9"/>
      <c r="B297" s="9"/>
      <c r="C297" s="9"/>
      <c r="D297" s="34"/>
      <c r="E297" s="9"/>
      <c r="F297" s="35"/>
      <c r="G297" s="35"/>
      <c r="H297" s="35"/>
      <c r="I297" s="34"/>
      <c r="J297" s="35"/>
      <c r="K297" s="35"/>
      <c r="L297" s="39" t="str">
        <f aca="false">IF(A297="","",IF(I297&lt;&gt;"","Vendu","En stock"))</f>
        <v/>
      </c>
      <c r="M297" s="17" t="str">
        <f aca="false">IF(J297="","",J297-F297-G297-K297)</f>
        <v/>
      </c>
      <c r="N297" s="40" t="str">
        <f aca="false">IF(OR(J297="",J297=0),"",M297/J297)</f>
        <v/>
      </c>
      <c r="O297" s="41" t="str">
        <f aca="true">IF(D297="","",IF(I297&lt;&gt;"",I297,TODAY())-D297)</f>
        <v/>
      </c>
    </row>
    <row r="298" customFormat="false" ht="15" hidden="false" customHeight="false" outlineLevel="0" collapsed="false">
      <c r="A298" s="9"/>
      <c r="B298" s="9"/>
      <c r="C298" s="9"/>
      <c r="D298" s="34"/>
      <c r="E298" s="9"/>
      <c r="F298" s="35"/>
      <c r="G298" s="35"/>
      <c r="H298" s="35"/>
      <c r="I298" s="34"/>
      <c r="J298" s="35"/>
      <c r="K298" s="35"/>
      <c r="L298" s="39" t="str">
        <f aca="false">IF(A298="","",IF(I298&lt;&gt;"","Vendu","En stock"))</f>
        <v/>
      </c>
      <c r="M298" s="17" t="str">
        <f aca="false">IF(J298="","",J298-F298-G298-K298)</f>
        <v/>
      </c>
      <c r="N298" s="40" t="str">
        <f aca="false">IF(OR(J298="",J298=0),"",M298/J298)</f>
        <v/>
      </c>
      <c r="O298" s="41" t="str">
        <f aca="true">IF(D298="","",IF(I298&lt;&gt;"",I298,TODAY())-D298)</f>
        <v/>
      </c>
    </row>
    <row r="299" customFormat="false" ht="15" hidden="false" customHeight="false" outlineLevel="0" collapsed="false">
      <c r="A299" s="9"/>
      <c r="B299" s="9"/>
      <c r="C299" s="9"/>
      <c r="D299" s="34"/>
      <c r="E299" s="9"/>
      <c r="F299" s="35"/>
      <c r="G299" s="35"/>
      <c r="H299" s="35"/>
      <c r="I299" s="34"/>
      <c r="J299" s="35"/>
      <c r="K299" s="35"/>
      <c r="L299" s="39" t="str">
        <f aca="false">IF(A299="","",IF(I299&lt;&gt;"","Vendu","En stock"))</f>
        <v/>
      </c>
      <c r="M299" s="17" t="str">
        <f aca="false">IF(J299="","",J299-F299-G299-K299)</f>
        <v/>
      </c>
      <c r="N299" s="40" t="str">
        <f aca="false">IF(OR(J299="",J299=0),"",M299/J299)</f>
        <v/>
      </c>
      <c r="O299" s="41" t="str">
        <f aca="true">IF(D299="","",IF(I299&lt;&gt;"",I299,TODAY())-D299)</f>
        <v/>
      </c>
    </row>
    <row r="300" customFormat="false" ht="15" hidden="false" customHeight="false" outlineLevel="0" collapsed="false">
      <c r="A300" s="9"/>
      <c r="B300" s="9"/>
      <c r="C300" s="9"/>
      <c r="D300" s="34"/>
      <c r="E300" s="9"/>
      <c r="F300" s="35"/>
      <c r="G300" s="35"/>
      <c r="H300" s="35"/>
      <c r="I300" s="34"/>
      <c r="J300" s="35"/>
      <c r="K300" s="35"/>
      <c r="L300" s="39" t="str">
        <f aca="false">IF(A300="","",IF(I300&lt;&gt;"","Vendu","En stock"))</f>
        <v/>
      </c>
      <c r="M300" s="17" t="str">
        <f aca="false">IF(J300="","",J300-F300-G300-K300)</f>
        <v/>
      </c>
      <c r="N300" s="40" t="str">
        <f aca="false">IF(OR(J300="",J300=0),"",M300/J300)</f>
        <v/>
      </c>
      <c r="O300" s="41" t="str">
        <f aca="true">IF(D300="","",IF(I300&lt;&gt;"",I300,TODAY())-D300)</f>
        <v/>
      </c>
    </row>
    <row r="301" customFormat="false" ht="15" hidden="false" customHeight="false" outlineLevel="0" collapsed="false">
      <c r="A301" s="9"/>
      <c r="B301" s="9"/>
      <c r="C301" s="9"/>
      <c r="D301" s="34"/>
      <c r="E301" s="9"/>
      <c r="F301" s="35"/>
      <c r="G301" s="35"/>
      <c r="H301" s="35"/>
      <c r="I301" s="34"/>
      <c r="J301" s="35"/>
      <c r="K301" s="35"/>
      <c r="L301" s="39" t="str">
        <f aca="false">IF(A301="","",IF(I301&lt;&gt;"","Vendu","En stock"))</f>
        <v/>
      </c>
      <c r="M301" s="17" t="str">
        <f aca="false">IF(J301="","",J301-F301-G301-K301)</f>
        <v/>
      </c>
      <c r="N301" s="40" t="str">
        <f aca="false">IF(OR(J301="",J301=0),"",M301/J301)</f>
        <v/>
      </c>
      <c r="O301" s="41" t="str">
        <f aca="true">IF(D301="","",IF(I301&lt;&gt;"",I301,TODAY())-D301)</f>
        <v/>
      </c>
    </row>
    <row r="302" customFormat="false" ht="15" hidden="false" customHeight="false" outlineLevel="0" collapsed="false">
      <c r="A302" s="9"/>
      <c r="B302" s="9"/>
      <c r="C302" s="9"/>
      <c r="D302" s="34"/>
      <c r="E302" s="9"/>
      <c r="F302" s="35"/>
      <c r="G302" s="35"/>
      <c r="H302" s="35"/>
      <c r="I302" s="34"/>
      <c r="J302" s="35"/>
      <c r="K302" s="35"/>
      <c r="L302" s="39" t="str">
        <f aca="false">IF(A302="","",IF(I302&lt;&gt;"","Vendu","En stock"))</f>
        <v/>
      </c>
      <c r="M302" s="17" t="str">
        <f aca="false">IF(J302="","",J302-F302-G302-K302)</f>
        <v/>
      </c>
      <c r="N302" s="40" t="str">
        <f aca="false">IF(OR(J302="",J302=0),"",M302/J302)</f>
        <v/>
      </c>
      <c r="O302" s="41" t="str">
        <f aca="true">IF(D302="","",IF(I302&lt;&gt;"",I302,TODAY())-D302)</f>
        <v/>
      </c>
    </row>
    <row r="303" customFormat="false" ht="15" hidden="false" customHeight="false" outlineLevel="0" collapsed="false">
      <c r="A303" s="9"/>
      <c r="B303" s="9"/>
      <c r="C303" s="9"/>
      <c r="D303" s="34"/>
      <c r="E303" s="9"/>
      <c r="F303" s="35"/>
      <c r="G303" s="35"/>
      <c r="H303" s="35"/>
      <c r="I303" s="34"/>
      <c r="J303" s="35"/>
      <c r="K303" s="35"/>
      <c r="L303" s="39" t="str">
        <f aca="false">IF(A303="","",IF(I303&lt;&gt;"","Vendu","En stock"))</f>
        <v/>
      </c>
      <c r="M303" s="17" t="str">
        <f aca="false">IF(J303="","",J303-F303-G303-K303)</f>
        <v/>
      </c>
      <c r="N303" s="40" t="str">
        <f aca="false">IF(OR(J303="",J303=0),"",M303/J303)</f>
        <v/>
      </c>
      <c r="O303" s="41" t="str">
        <f aca="true">IF(D303="","",IF(I303&lt;&gt;"",I303,TODAY())-D303)</f>
        <v/>
      </c>
    </row>
    <row r="304" customFormat="false" ht="15" hidden="false" customHeight="false" outlineLevel="0" collapsed="false">
      <c r="A304" s="9"/>
      <c r="B304" s="9"/>
      <c r="C304" s="9"/>
      <c r="D304" s="34"/>
      <c r="E304" s="9"/>
      <c r="F304" s="35"/>
      <c r="G304" s="35"/>
      <c r="H304" s="35"/>
      <c r="I304" s="34"/>
      <c r="J304" s="35"/>
      <c r="K304" s="35"/>
      <c r="L304" s="39" t="str">
        <f aca="false">IF(A304="","",IF(I304&lt;&gt;"","Vendu","En stock"))</f>
        <v/>
      </c>
      <c r="M304" s="17" t="str">
        <f aca="false">IF(J304="","",J304-F304-G304-K304)</f>
        <v/>
      </c>
      <c r="N304" s="40" t="str">
        <f aca="false">IF(OR(J304="",J304=0),"",M304/J304)</f>
        <v/>
      </c>
      <c r="O304" s="41" t="str">
        <f aca="true">IF(D304="","",IF(I304&lt;&gt;"",I304,TODAY())-D304)</f>
        <v/>
      </c>
    </row>
    <row r="305" customFormat="false" ht="15" hidden="false" customHeight="false" outlineLevel="0" collapsed="false">
      <c r="A305" s="9"/>
      <c r="B305" s="9"/>
      <c r="C305" s="9"/>
      <c r="D305" s="34"/>
      <c r="E305" s="9"/>
      <c r="F305" s="35"/>
      <c r="G305" s="35"/>
      <c r="H305" s="35"/>
      <c r="I305" s="34"/>
      <c r="J305" s="35"/>
      <c r="K305" s="35"/>
      <c r="L305" s="39" t="str">
        <f aca="false">IF(A305="","",IF(I305&lt;&gt;"","Vendu","En stock"))</f>
        <v/>
      </c>
      <c r="M305" s="17" t="str">
        <f aca="false">IF(J305="","",J305-F305-G305-K305)</f>
        <v/>
      </c>
      <c r="N305" s="40" t="str">
        <f aca="false">IF(OR(J305="",J305=0),"",M305/J305)</f>
        <v/>
      </c>
      <c r="O305" s="41" t="str">
        <f aca="true">IF(D305="","",IF(I305&lt;&gt;"",I305,TODAY())-D305)</f>
        <v/>
      </c>
    </row>
    <row r="306" customFormat="false" ht="15" hidden="false" customHeight="false" outlineLevel="0" collapsed="false">
      <c r="A306" s="9"/>
      <c r="B306" s="9"/>
      <c r="C306" s="9"/>
      <c r="D306" s="34"/>
      <c r="E306" s="9"/>
      <c r="F306" s="35"/>
      <c r="G306" s="35"/>
      <c r="H306" s="35"/>
      <c r="I306" s="34"/>
      <c r="J306" s="35"/>
      <c r="K306" s="35"/>
      <c r="L306" s="39" t="str">
        <f aca="false">IF(A306="","",IF(I306&lt;&gt;"","Vendu","En stock"))</f>
        <v/>
      </c>
      <c r="M306" s="17" t="str">
        <f aca="false">IF(J306="","",J306-F306-G306-K306)</f>
        <v/>
      </c>
      <c r="N306" s="40" t="str">
        <f aca="false">IF(OR(J306="",J306=0),"",M306/J306)</f>
        <v/>
      </c>
      <c r="O306" s="41" t="str">
        <f aca="true">IF(D306="","",IF(I306&lt;&gt;"",I306,TODAY())-D306)</f>
        <v/>
      </c>
    </row>
    <row r="307" customFormat="false" ht="15" hidden="false" customHeight="false" outlineLevel="0" collapsed="false">
      <c r="A307" s="9"/>
      <c r="B307" s="9"/>
      <c r="C307" s="9"/>
      <c r="D307" s="34"/>
      <c r="E307" s="9"/>
      <c r="F307" s="35"/>
      <c r="G307" s="35"/>
      <c r="H307" s="35"/>
      <c r="I307" s="34"/>
      <c r="J307" s="35"/>
      <c r="K307" s="35"/>
      <c r="L307" s="39" t="str">
        <f aca="false">IF(A307="","",IF(I307&lt;&gt;"","Vendu","En stock"))</f>
        <v/>
      </c>
      <c r="M307" s="17" t="str">
        <f aca="false">IF(J307="","",J307-F307-G307-K307)</f>
        <v/>
      </c>
      <c r="N307" s="40" t="str">
        <f aca="false">IF(OR(J307="",J307=0),"",M307/J307)</f>
        <v/>
      </c>
      <c r="O307" s="41" t="str">
        <f aca="true">IF(D307="","",IF(I307&lt;&gt;"",I307,TODAY())-D307)</f>
        <v/>
      </c>
    </row>
    <row r="308" customFormat="false" ht="15" hidden="false" customHeight="false" outlineLevel="0" collapsed="false">
      <c r="A308" s="9"/>
      <c r="B308" s="9"/>
      <c r="C308" s="9"/>
      <c r="D308" s="34"/>
      <c r="E308" s="9"/>
      <c r="F308" s="35"/>
      <c r="G308" s="35"/>
      <c r="H308" s="35"/>
      <c r="I308" s="34"/>
      <c r="J308" s="35"/>
      <c r="K308" s="35"/>
      <c r="L308" s="39" t="str">
        <f aca="false">IF(A308="","",IF(I308&lt;&gt;"","Vendu","En stock"))</f>
        <v/>
      </c>
      <c r="M308" s="17" t="str">
        <f aca="false">IF(J308="","",J308-F308-G308-K308)</f>
        <v/>
      </c>
      <c r="N308" s="40" t="str">
        <f aca="false">IF(OR(J308="",J308=0),"",M308/J308)</f>
        <v/>
      </c>
      <c r="O308" s="41" t="str">
        <f aca="true">IF(D308="","",IF(I308&lt;&gt;"",I308,TODAY())-D308)</f>
        <v/>
      </c>
    </row>
    <row r="309" customFormat="false" ht="15" hidden="false" customHeight="false" outlineLevel="0" collapsed="false">
      <c r="A309" s="9"/>
      <c r="B309" s="9"/>
      <c r="C309" s="9"/>
      <c r="D309" s="34"/>
      <c r="E309" s="9"/>
      <c r="F309" s="35"/>
      <c r="G309" s="35"/>
      <c r="H309" s="35"/>
      <c r="I309" s="34"/>
      <c r="J309" s="35"/>
      <c r="K309" s="35"/>
      <c r="L309" s="39" t="str">
        <f aca="false">IF(A309="","",IF(I309&lt;&gt;"","Vendu","En stock"))</f>
        <v/>
      </c>
      <c r="M309" s="17" t="str">
        <f aca="false">IF(J309="","",J309-F309-G309-K309)</f>
        <v/>
      </c>
      <c r="N309" s="40" t="str">
        <f aca="false">IF(OR(J309="",J309=0),"",M309/J309)</f>
        <v/>
      </c>
      <c r="O309" s="41" t="str">
        <f aca="true">IF(D309="","",IF(I309&lt;&gt;"",I309,TODAY())-D309)</f>
        <v/>
      </c>
    </row>
    <row r="310" customFormat="false" ht="15" hidden="false" customHeight="false" outlineLevel="0" collapsed="false">
      <c r="A310" s="9"/>
      <c r="B310" s="9"/>
      <c r="C310" s="9"/>
      <c r="D310" s="34"/>
      <c r="E310" s="9"/>
      <c r="F310" s="35"/>
      <c r="G310" s="35"/>
      <c r="H310" s="35"/>
      <c r="I310" s="34"/>
      <c r="J310" s="35"/>
      <c r="K310" s="35"/>
      <c r="L310" s="39" t="str">
        <f aca="false">IF(A310="","",IF(I310&lt;&gt;"","Vendu","En stock"))</f>
        <v/>
      </c>
      <c r="M310" s="17" t="str">
        <f aca="false">IF(J310="","",J310-F310-G310-K310)</f>
        <v/>
      </c>
      <c r="N310" s="40" t="str">
        <f aca="false">IF(OR(J310="",J310=0),"",M310/J310)</f>
        <v/>
      </c>
      <c r="O310" s="41" t="str">
        <f aca="true">IF(D310="","",IF(I310&lt;&gt;"",I310,TODAY())-D310)</f>
        <v/>
      </c>
    </row>
    <row r="311" customFormat="false" ht="15" hidden="false" customHeight="false" outlineLevel="0" collapsed="false">
      <c r="A311" s="9"/>
      <c r="B311" s="9"/>
      <c r="C311" s="9"/>
      <c r="D311" s="34"/>
      <c r="E311" s="9"/>
      <c r="F311" s="35"/>
      <c r="G311" s="35"/>
      <c r="H311" s="35"/>
      <c r="I311" s="34"/>
      <c r="J311" s="35"/>
      <c r="K311" s="35"/>
      <c r="L311" s="39" t="str">
        <f aca="false">IF(A311="","",IF(I311&lt;&gt;"","Vendu","En stock"))</f>
        <v/>
      </c>
      <c r="M311" s="17" t="str">
        <f aca="false">IF(J311="","",J311-F311-G311-K311)</f>
        <v/>
      </c>
      <c r="N311" s="40" t="str">
        <f aca="false">IF(OR(J311="",J311=0),"",M311/J311)</f>
        <v/>
      </c>
      <c r="O311" s="41" t="str">
        <f aca="true">IF(D311="","",IF(I311&lt;&gt;"",I311,TODAY())-D311)</f>
        <v/>
      </c>
    </row>
    <row r="312" customFormat="false" ht="15" hidden="false" customHeight="false" outlineLevel="0" collapsed="false">
      <c r="A312" s="9"/>
      <c r="B312" s="9"/>
      <c r="C312" s="9"/>
      <c r="D312" s="34"/>
      <c r="E312" s="9"/>
      <c r="F312" s="35"/>
      <c r="G312" s="35"/>
      <c r="H312" s="35"/>
      <c r="I312" s="34"/>
      <c r="J312" s="35"/>
      <c r="K312" s="35"/>
      <c r="L312" s="39" t="str">
        <f aca="false">IF(A312="","",IF(I312&lt;&gt;"","Vendu","En stock"))</f>
        <v/>
      </c>
      <c r="M312" s="17" t="str">
        <f aca="false">IF(J312="","",J312-F312-G312-K312)</f>
        <v/>
      </c>
      <c r="N312" s="40" t="str">
        <f aca="false">IF(OR(J312="",J312=0),"",M312/J312)</f>
        <v/>
      </c>
      <c r="O312" s="41" t="str">
        <f aca="true">IF(D312="","",IF(I312&lt;&gt;"",I312,TODAY())-D312)</f>
        <v/>
      </c>
    </row>
    <row r="313" customFormat="false" ht="15" hidden="false" customHeight="false" outlineLevel="0" collapsed="false">
      <c r="A313" s="9"/>
      <c r="B313" s="9"/>
      <c r="C313" s="9"/>
      <c r="D313" s="34"/>
      <c r="E313" s="9"/>
      <c r="F313" s="35"/>
      <c r="G313" s="35"/>
      <c r="H313" s="35"/>
      <c r="I313" s="34"/>
      <c r="J313" s="35"/>
      <c r="K313" s="35"/>
      <c r="L313" s="39" t="str">
        <f aca="false">IF(A313="","",IF(I313&lt;&gt;"","Vendu","En stock"))</f>
        <v/>
      </c>
      <c r="M313" s="17" t="str">
        <f aca="false">IF(J313="","",J313-F313-G313-K313)</f>
        <v/>
      </c>
      <c r="N313" s="40" t="str">
        <f aca="false">IF(OR(J313="",J313=0),"",M313/J313)</f>
        <v/>
      </c>
      <c r="O313" s="41" t="str">
        <f aca="true">IF(D313="","",IF(I313&lt;&gt;"",I313,TODAY())-D313)</f>
        <v/>
      </c>
    </row>
    <row r="314" customFormat="false" ht="15" hidden="false" customHeight="false" outlineLevel="0" collapsed="false">
      <c r="A314" s="9"/>
      <c r="B314" s="9"/>
      <c r="C314" s="9"/>
      <c r="D314" s="34"/>
      <c r="E314" s="9"/>
      <c r="F314" s="35"/>
      <c r="G314" s="35"/>
      <c r="H314" s="35"/>
      <c r="I314" s="34"/>
      <c r="J314" s="35"/>
      <c r="K314" s="35"/>
      <c r="L314" s="39" t="str">
        <f aca="false">IF(A314="","",IF(I314&lt;&gt;"","Vendu","En stock"))</f>
        <v/>
      </c>
      <c r="M314" s="17" t="str">
        <f aca="false">IF(J314="","",J314-F314-G314-K314)</f>
        <v/>
      </c>
      <c r="N314" s="40" t="str">
        <f aca="false">IF(OR(J314="",J314=0),"",M314/J314)</f>
        <v/>
      </c>
      <c r="O314" s="41" t="str">
        <f aca="true">IF(D314="","",IF(I314&lt;&gt;"",I314,TODAY())-D314)</f>
        <v/>
      </c>
    </row>
    <row r="315" customFormat="false" ht="15" hidden="false" customHeight="false" outlineLevel="0" collapsed="false">
      <c r="A315" s="9"/>
      <c r="B315" s="9"/>
      <c r="C315" s="9"/>
      <c r="D315" s="34"/>
      <c r="E315" s="9"/>
      <c r="F315" s="35"/>
      <c r="G315" s="35"/>
      <c r="H315" s="35"/>
      <c r="I315" s="34"/>
      <c r="J315" s="35"/>
      <c r="K315" s="35"/>
      <c r="L315" s="39" t="str">
        <f aca="false">IF(A315="","",IF(I315&lt;&gt;"","Vendu","En stock"))</f>
        <v/>
      </c>
      <c r="M315" s="17" t="str">
        <f aca="false">IF(J315="","",J315-F315-G315-K315)</f>
        <v/>
      </c>
      <c r="N315" s="40" t="str">
        <f aca="false">IF(OR(J315="",J315=0),"",M315/J315)</f>
        <v/>
      </c>
      <c r="O315" s="41" t="str">
        <f aca="true">IF(D315="","",IF(I315&lt;&gt;"",I315,TODAY())-D315)</f>
        <v/>
      </c>
    </row>
    <row r="316" customFormat="false" ht="15" hidden="false" customHeight="false" outlineLevel="0" collapsed="false">
      <c r="A316" s="9"/>
      <c r="B316" s="9"/>
      <c r="C316" s="9"/>
      <c r="D316" s="34"/>
      <c r="E316" s="9"/>
      <c r="F316" s="35"/>
      <c r="G316" s="35"/>
      <c r="H316" s="35"/>
      <c r="I316" s="34"/>
      <c r="J316" s="35"/>
      <c r="K316" s="35"/>
      <c r="L316" s="39" t="str">
        <f aca="false">IF(A316="","",IF(I316&lt;&gt;"","Vendu","En stock"))</f>
        <v/>
      </c>
      <c r="M316" s="17" t="str">
        <f aca="false">IF(J316="","",J316-F316-G316-K316)</f>
        <v/>
      </c>
      <c r="N316" s="40" t="str">
        <f aca="false">IF(OR(J316="",J316=0),"",M316/J316)</f>
        <v/>
      </c>
      <c r="O316" s="41" t="str">
        <f aca="true">IF(D316="","",IF(I316&lt;&gt;"",I316,TODAY())-D316)</f>
        <v/>
      </c>
    </row>
    <row r="317" customFormat="false" ht="15" hidden="false" customHeight="false" outlineLevel="0" collapsed="false">
      <c r="A317" s="9"/>
      <c r="B317" s="9"/>
      <c r="C317" s="9"/>
      <c r="D317" s="34"/>
      <c r="E317" s="9"/>
      <c r="F317" s="35"/>
      <c r="G317" s="35"/>
      <c r="H317" s="35"/>
      <c r="I317" s="34"/>
      <c r="J317" s="35"/>
      <c r="K317" s="35"/>
      <c r="L317" s="39" t="str">
        <f aca="false">IF(A317="","",IF(I317&lt;&gt;"","Vendu","En stock"))</f>
        <v/>
      </c>
      <c r="M317" s="17" t="str">
        <f aca="false">IF(J317="","",J317-F317-G317-K317)</f>
        <v/>
      </c>
      <c r="N317" s="40" t="str">
        <f aca="false">IF(OR(J317="",J317=0),"",M317/J317)</f>
        <v/>
      </c>
      <c r="O317" s="41" t="str">
        <f aca="true">IF(D317="","",IF(I317&lt;&gt;"",I317,TODAY())-D317)</f>
        <v/>
      </c>
    </row>
    <row r="318" customFormat="false" ht="15" hidden="false" customHeight="false" outlineLevel="0" collapsed="false">
      <c r="A318" s="9"/>
      <c r="B318" s="9"/>
      <c r="C318" s="9"/>
      <c r="D318" s="34"/>
      <c r="E318" s="9"/>
      <c r="F318" s="35"/>
      <c r="G318" s="35"/>
      <c r="H318" s="35"/>
      <c r="I318" s="34"/>
      <c r="J318" s="35"/>
      <c r="K318" s="35"/>
      <c r="L318" s="39" t="str">
        <f aca="false">IF(A318="","",IF(I318&lt;&gt;"","Vendu","En stock"))</f>
        <v/>
      </c>
      <c r="M318" s="17" t="str">
        <f aca="false">IF(J318="","",J318-F318-G318-K318)</f>
        <v/>
      </c>
      <c r="N318" s="40" t="str">
        <f aca="false">IF(OR(J318="",J318=0),"",M318/J318)</f>
        <v/>
      </c>
      <c r="O318" s="41" t="str">
        <f aca="true">IF(D318="","",IF(I318&lt;&gt;"",I318,TODAY())-D318)</f>
        <v/>
      </c>
    </row>
    <row r="319" customFormat="false" ht="15" hidden="false" customHeight="false" outlineLevel="0" collapsed="false">
      <c r="A319" s="9"/>
      <c r="B319" s="9"/>
      <c r="C319" s="9"/>
      <c r="D319" s="34"/>
      <c r="E319" s="9"/>
      <c r="F319" s="35"/>
      <c r="G319" s="35"/>
      <c r="H319" s="35"/>
      <c r="I319" s="34"/>
      <c r="J319" s="35"/>
      <c r="K319" s="35"/>
      <c r="L319" s="39" t="str">
        <f aca="false">IF(A319="","",IF(I319&lt;&gt;"","Vendu","En stock"))</f>
        <v/>
      </c>
      <c r="M319" s="17" t="str">
        <f aca="false">IF(J319="","",J319-F319-G319-K319)</f>
        <v/>
      </c>
      <c r="N319" s="40" t="str">
        <f aca="false">IF(OR(J319="",J319=0),"",M319/J319)</f>
        <v/>
      </c>
      <c r="O319" s="41" t="str">
        <f aca="true">IF(D319="","",IF(I319&lt;&gt;"",I319,TODAY())-D319)</f>
        <v/>
      </c>
    </row>
    <row r="320" customFormat="false" ht="15" hidden="false" customHeight="false" outlineLevel="0" collapsed="false">
      <c r="A320" s="9"/>
      <c r="B320" s="9"/>
      <c r="C320" s="9"/>
      <c r="D320" s="34"/>
      <c r="E320" s="9"/>
      <c r="F320" s="35"/>
      <c r="G320" s="35"/>
      <c r="H320" s="35"/>
      <c r="I320" s="34"/>
      <c r="J320" s="35"/>
      <c r="K320" s="35"/>
      <c r="L320" s="39" t="str">
        <f aca="false">IF(A320="","",IF(I320&lt;&gt;"","Vendu","En stock"))</f>
        <v/>
      </c>
      <c r="M320" s="17" t="str">
        <f aca="false">IF(J320="","",J320-F320-G320-K320)</f>
        <v/>
      </c>
      <c r="N320" s="40" t="str">
        <f aca="false">IF(OR(J320="",J320=0),"",M320/J320)</f>
        <v/>
      </c>
      <c r="O320" s="41" t="str">
        <f aca="true">IF(D320="","",IF(I320&lt;&gt;"",I320,TODAY())-D320)</f>
        <v/>
      </c>
    </row>
    <row r="321" customFormat="false" ht="15" hidden="false" customHeight="false" outlineLevel="0" collapsed="false">
      <c r="A321" s="9"/>
      <c r="B321" s="9"/>
      <c r="C321" s="9"/>
      <c r="D321" s="34"/>
      <c r="E321" s="9"/>
      <c r="F321" s="35"/>
      <c r="G321" s="35"/>
      <c r="H321" s="35"/>
      <c r="I321" s="34"/>
      <c r="J321" s="35"/>
      <c r="K321" s="35"/>
      <c r="L321" s="39" t="str">
        <f aca="false">IF(A321="","",IF(I321&lt;&gt;"","Vendu","En stock"))</f>
        <v/>
      </c>
      <c r="M321" s="17" t="str">
        <f aca="false">IF(J321="","",J321-F321-G321-K321)</f>
        <v/>
      </c>
      <c r="N321" s="40" t="str">
        <f aca="false">IF(OR(J321="",J321=0),"",M321/J321)</f>
        <v/>
      </c>
      <c r="O321" s="41" t="str">
        <f aca="true">IF(D321="","",IF(I321&lt;&gt;"",I321,TODAY())-D321)</f>
        <v/>
      </c>
    </row>
    <row r="322" customFormat="false" ht="15" hidden="false" customHeight="false" outlineLevel="0" collapsed="false">
      <c r="A322" s="9"/>
      <c r="B322" s="9"/>
      <c r="C322" s="9"/>
      <c r="D322" s="34"/>
      <c r="E322" s="9"/>
      <c r="F322" s="35"/>
      <c r="G322" s="35"/>
      <c r="H322" s="35"/>
      <c r="I322" s="34"/>
      <c r="J322" s="35"/>
      <c r="K322" s="35"/>
      <c r="L322" s="39" t="str">
        <f aca="false">IF(A322="","",IF(I322&lt;&gt;"","Vendu","En stock"))</f>
        <v/>
      </c>
      <c r="M322" s="17" t="str">
        <f aca="false">IF(J322="","",J322-F322-G322-K322)</f>
        <v/>
      </c>
      <c r="N322" s="40" t="str">
        <f aca="false">IF(OR(J322="",J322=0),"",M322/J322)</f>
        <v/>
      </c>
      <c r="O322" s="41" t="str">
        <f aca="true">IF(D322="","",IF(I322&lt;&gt;"",I322,TODAY())-D322)</f>
        <v/>
      </c>
    </row>
    <row r="323" customFormat="false" ht="15" hidden="false" customHeight="false" outlineLevel="0" collapsed="false">
      <c r="A323" s="9"/>
      <c r="B323" s="9"/>
      <c r="C323" s="9"/>
      <c r="D323" s="34"/>
      <c r="E323" s="9"/>
      <c r="F323" s="35"/>
      <c r="G323" s="35"/>
      <c r="H323" s="35"/>
      <c r="I323" s="34"/>
      <c r="J323" s="35"/>
      <c r="K323" s="35"/>
      <c r="L323" s="39" t="str">
        <f aca="false">IF(A323="","",IF(I323&lt;&gt;"","Vendu","En stock"))</f>
        <v/>
      </c>
      <c r="M323" s="17" t="str">
        <f aca="false">IF(J323="","",J323-F323-G323-K323)</f>
        <v/>
      </c>
      <c r="N323" s="40" t="str">
        <f aca="false">IF(OR(J323="",J323=0),"",M323/J323)</f>
        <v/>
      </c>
      <c r="O323" s="41" t="str">
        <f aca="true">IF(D323="","",IF(I323&lt;&gt;"",I323,TODAY())-D323)</f>
        <v/>
      </c>
    </row>
    <row r="324" customFormat="false" ht="15" hidden="false" customHeight="false" outlineLevel="0" collapsed="false">
      <c r="A324" s="9"/>
      <c r="B324" s="9"/>
      <c r="C324" s="9"/>
      <c r="D324" s="34"/>
      <c r="E324" s="9"/>
      <c r="F324" s="35"/>
      <c r="G324" s="35"/>
      <c r="H324" s="35"/>
      <c r="I324" s="34"/>
      <c r="J324" s="35"/>
      <c r="K324" s="35"/>
      <c r="L324" s="39" t="str">
        <f aca="false">IF(A324="","",IF(I324&lt;&gt;"","Vendu","En stock"))</f>
        <v/>
      </c>
      <c r="M324" s="17" t="str">
        <f aca="false">IF(J324="","",J324-F324-G324-K324)</f>
        <v/>
      </c>
      <c r="N324" s="40" t="str">
        <f aca="false">IF(OR(J324="",J324=0),"",M324/J324)</f>
        <v/>
      </c>
      <c r="O324" s="41" t="str">
        <f aca="true">IF(D324="","",IF(I324&lt;&gt;"",I324,TODAY())-D324)</f>
        <v/>
      </c>
    </row>
    <row r="325" customFormat="false" ht="15" hidden="false" customHeight="false" outlineLevel="0" collapsed="false">
      <c r="A325" s="9"/>
      <c r="B325" s="9"/>
      <c r="C325" s="9"/>
      <c r="D325" s="34"/>
      <c r="E325" s="9"/>
      <c r="F325" s="35"/>
      <c r="G325" s="35"/>
      <c r="H325" s="35"/>
      <c r="I325" s="34"/>
      <c r="J325" s="35"/>
      <c r="K325" s="35"/>
      <c r="L325" s="39" t="str">
        <f aca="false">IF(A325="","",IF(I325&lt;&gt;"","Vendu","En stock"))</f>
        <v/>
      </c>
      <c r="M325" s="17" t="str">
        <f aca="false">IF(J325="","",J325-F325-G325-K325)</f>
        <v/>
      </c>
      <c r="N325" s="40" t="str">
        <f aca="false">IF(OR(J325="",J325=0),"",M325/J325)</f>
        <v/>
      </c>
      <c r="O325" s="41" t="str">
        <f aca="true">IF(D325="","",IF(I325&lt;&gt;"",I325,TODAY())-D325)</f>
        <v/>
      </c>
    </row>
    <row r="326" customFormat="false" ht="15" hidden="false" customHeight="false" outlineLevel="0" collapsed="false">
      <c r="A326" s="9"/>
      <c r="B326" s="9"/>
      <c r="C326" s="9"/>
      <c r="D326" s="34"/>
      <c r="E326" s="9"/>
      <c r="F326" s="35"/>
      <c r="G326" s="35"/>
      <c r="H326" s="35"/>
      <c r="I326" s="34"/>
      <c r="J326" s="35"/>
      <c r="K326" s="35"/>
      <c r="L326" s="39" t="str">
        <f aca="false">IF(A326="","",IF(I326&lt;&gt;"","Vendu","En stock"))</f>
        <v/>
      </c>
      <c r="M326" s="17" t="str">
        <f aca="false">IF(J326="","",J326-F326-G326-K326)</f>
        <v/>
      </c>
      <c r="N326" s="40" t="str">
        <f aca="false">IF(OR(J326="",J326=0),"",M326/J326)</f>
        <v/>
      </c>
      <c r="O326" s="41" t="str">
        <f aca="true">IF(D326="","",IF(I326&lt;&gt;"",I326,TODAY())-D326)</f>
        <v/>
      </c>
    </row>
    <row r="327" customFormat="false" ht="15" hidden="false" customHeight="false" outlineLevel="0" collapsed="false">
      <c r="A327" s="9"/>
      <c r="B327" s="9"/>
      <c r="C327" s="9"/>
      <c r="D327" s="34"/>
      <c r="E327" s="9"/>
      <c r="F327" s="35"/>
      <c r="G327" s="35"/>
      <c r="H327" s="35"/>
      <c r="I327" s="34"/>
      <c r="J327" s="35"/>
      <c r="K327" s="35"/>
      <c r="L327" s="39" t="str">
        <f aca="false">IF(A327="","",IF(I327&lt;&gt;"","Vendu","En stock"))</f>
        <v/>
      </c>
      <c r="M327" s="17" t="str">
        <f aca="false">IF(J327="","",J327-F327-G327-K327)</f>
        <v/>
      </c>
      <c r="N327" s="40" t="str">
        <f aca="false">IF(OR(J327="",J327=0),"",M327/J327)</f>
        <v/>
      </c>
      <c r="O327" s="41" t="str">
        <f aca="true">IF(D327="","",IF(I327&lt;&gt;"",I327,TODAY())-D327)</f>
        <v/>
      </c>
    </row>
    <row r="328" customFormat="false" ht="15" hidden="false" customHeight="false" outlineLevel="0" collapsed="false">
      <c r="A328" s="9"/>
      <c r="B328" s="9"/>
      <c r="C328" s="9"/>
      <c r="D328" s="34"/>
      <c r="E328" s="9"/>
      <c r="F328" s="35"/>
      <c r="G328" s="35"/>
      <c r="H328" s="35"/>
      <c r="I328" s="34"/>
      <c r="J328" s="35"/>
      <c r="K328" s="35"/>
      <c r="L328" s="39" t="str">
        <f aca="false">IF(A328="","",IF(I328&lt;&gt;"","Vendu","En stock"))</f>
        <v/>
      </c>
      <c r="M328" s="17" t="str">
        <f aca="false">IF(J328="","",J328-F328-G328-K328)</f>
        <v/>
      </c>
      <c r="N328" s="40" t="str">
        <f aca="false">IF(OR(J328="",J328=0),"",M328/J328)</f>
        <v/>
      </c>
      <c r="O328" s="41" t="str">
        <f aca="true">IF(D328="","",IF(I328&lt;&gt;"",I328,TODAY())-D328)</f>
        <v/>
      </c>
    </row>
    <row r="329" customFormat="false" ht="15" hidden="false" customHeight="false" outlineLevel="0" collapsed="false">
      <c r="A329" s="9"/>
      <c r="B329" s="9"/>
      <c r="C329" s="9"/>
      <c r="D329" s="34"/>
      <c r="E329" s="9"/>
      <c r="F329" s="35"/>
      <c r="G329" s="35"/>
      <c r="H329" s="35"/>
      <c r="I329" s="34"/>
      <c r="J329" s="35"/>
      <c r="K329" s="35"/>
      <c r="L329" s="39" t="str">
        <f aca="false">IF(A329="","",IF(I329&lt;&gt;"","Vendu","En stock"))</f>
        <v/>
      </c>
      <c r="M329" s="17" t="str">
        <f aca="false">IF(J329="","",J329-F329-G329-K329)</f>
        <v/>
      </c>
      <c r="N329" s="40" t="str">
        <f aca="false">IF(OR(J329="",J329=0),"",M329/J329)</f>
        <v/>
      </c>
      <c r="O329" s="41" t="str">
        <f aca="true">IF(D329="","",IF(I329&lt;&gt;"",I329,TODAY())-D329)</f>
        <v/>
      </c>
    </row>
    <row r="330" customFormat="false" ht="15" hidden="false" customHeight="false" outlineLevel="0" collapsed="false">
      <c r="A330" s="9"/>
      <c r="B330" s="9"/>
      <c r="C330" s="9"/>
      <c r="D330" s="34"/>
      <c r="E330" s="9"/>
      <c r="F330" s="35"/>
      <c r="G330" s="35"/>
      <c r="H330" s="35"/>
      <c r="I330" s="34"/>
      <c r="J330" s="35"/>
      <c r="K330" s="35"/>
      <c r="L330" s="39" t="str">
        <f aca="false">IF(A330="","",IF(I330&lt;&gt;"","Vendu","En stock"))</f>
        <v/>
      </c>
      <c r="M330" s="17" t="str">
        <f aca="false">IF(J330="","",J330-F330-G330-K330)</f>
        <v/>
      </c>
      <c r="N330" s="40" t="str">
        <f aca="false">IF(OR(J330="",J330=0),"",M330/J330)</f>
        <v/>
      </c>
      <c r="O330" s="41" t="str">
        <f aca="true">IF(D330="","",IF(I330&lt;&gt;"",I330,TODAY())-D330)</f>
        <v/>
      </c>
    </row>
    <row r="331" customFormat="false" ht="15" hidden="false" customHeight="false" outlineLevel="0" collapsed="false">
      <c r="A331" s="9"/>
      <c r="B331" s="9"/>
      <c r="C331" s="9"/>
      <c r="D331" s="34"/>
      <c r="E331" s="9"/>
      <c r="F331" s="35"/>
      <c r="G331" s="35"/>
      <c r="H331" s="35"/>
      <c r="I331" s="34"/>
      <c r="J331" s="35"/>
      <c r="K331" s="35"/>
      <c r="L331" s="39" t="str">
        <f aca="false">IF(A331="","",IF(I331&lt;&gt;"","Vendu","En stock"))</f>
        <v/>
      </c>
      <c r="M331" s="17" t="str">
        <f aca="false">IF(J331="","",J331-F331-G331-K331)</f>
        <v/>
      </c>
      <c r="N331" s="40" t="str">
        <f aca="false">IF(OR(J331="",J331=0),"",M331/J331)</f>
        <v/>
      </c>
      <c r="O331" s="41" t="str">
        <f aca="true">IF(D331="","",IF(I331&lt;&gt;"",I331,TODAY())-D331)</f>
        <v/>
      </c>
    </row>
    <row r="332" customFormat="false" ht="15" hidden="false" customHeight="false" outlineLevel="0" collapsed="false">
      <c r="A332" s="9"/>
      <c r="B332" s="9"/>
      <c r="C332" s="9"/>
      <c r="D332" s="34"/>
      <c r="E332" s="9"/>
      <c r="F332" s="35"/>
      <c r="G332" s="35"/>
      <c r="H332" s="35"/>
      <c r="I332" s="34"/>
      <c r="J332" s="35"/>
      <c r="K332" s="35"/>
      <c r="L332" s="39" t="str">
        <f aca="false">IF(A332="","",IF(I332&lt;&gt;"","Vendu","En stock"))</f>
        <v/>
      </c>
      <c r="M332" s="17" t="str">
        <f aca="false">IF(J332="","",J332-F332-G332-K332)</f>
        <v/>
      </c>
      <c r="N332" s="40" t="str">
        <f aca="false">IF(OR(J332="",J332=0),"",M332/J332)</f>
        <v/>
      </c>
      <c r="O332" s="41" t="str">
        <f aca="true">IF(D332="","",IF(I332&lt;&gt;"",I332,TODAY())-D332)</f>
        <v/>
      </c>
    </row>
    <row r="333" customFormat="false" ht="15" hidden="false" customHeight="false" outlineLevel="0" collapsed="false">
      <c r="A333" s="9"/>
      <c r="B333" s="9"/>
      <c r="C333" s="9"/>
      <c r="D333" s="34"/>
      <c r="E333" s="9"/>
      <c r="F333" s="35"/>
      <c r="G333" s="35"/>
      <c r="H333" s="35"/>
      <c r="I333" s="34"/>
      <c r="J333" s="35"/>
      <c r="K333" s="35"/>
      <c r="L333" s="39" t="str">
        <f aca="false">IF(A333="","",IF(I333&lt;&gt;"","Vendu","En stock"))</f>
        <v/>
      </c>
      <c r="M333" s="17" t="str">
        <f aca="false">IF(J333="","",J333-F333-G333-K333)</f>
        <v/>
      </c>
      <c r="N333" s="40" t="str">
        <f aca="false">IF(OR(J333="",J333=0),"",M333/J333)</f>
        <v/>
      </c>
      <c r="O333" s="41" t="str">
        <f aca="true">IF(D333="","",IF(I333&lt;&gt;"",I333,TODAY())-D333)</f>
        <v/>
      </c>
    </row>
    <row r="334" customFormat="false" ht="15" hidden="false" customHeight="false" outlineLevel="0" collapsed="false">
      <c r="A334" s="9"/>
      <c r="B334" s="9"/>
      <c r="C334" s="9"/>
      <c r="D334" s="34"/>
      <c r="E334" s="9"/>
      <c r="F334" s="35"/>
      <c r="G334" s="35"/>
      <c r="H334" s="35"/>
      <c r="I334" s="34"/>
      <c r="J334" s="35"/>
      <c r="K334" s="35"/>
      <c r="L334" s="39" t="str">
        <f aca="false">IF(A334="","",IF(I334&lt;&gt;"","Vendu","En stock"))</f>
        <v/>
      </c>
      <c r="M334" s="17" t="str">
        <f aca="false">IF(J334="","",J334-F334-G334-K334)</f>
        <v/>
      </c>
      <c r="N334" s="40" t="str">
        <f aca="false">IF(OR(J334="",J334=0),"",M334/J334)</f>
        <v/>
      </c>
      <c r="O334" s="41" t="str">
        <f aca="true">IF(D334="","",IF(I334&lt;&gt;"",I334,TODAY())-D334)</f>
        <v/>
      </c>
    </row>
    <row r="335" customFormat="false" ht="15" hidden="false" customHeight="false" outlineLevel="0" collapsed="false">
      <c r="A335" s="9"/>
      <c r="B335" s="9"/>
      <c r="C335" s="9"/>
      <c r="D335" s="34"/>
      <c r="E335" s="9"/>
      <c r="F335" s="35"/>
      <c r="G335" s="35"/>
      <c r="H335" s="35"/>
      <c r="I335" s="34"/>
      <c r="J335" s="35"/>
      <c r="K335" s="35"/>
      <c r="L335" s="39" t="str">
        <f aca="false">IF(A335="","",IF(I335&lt;&gt;"","Vendu","En stock"))</f>
        <v/>
      </c>
      <c r="M335" s="17" t="str">
        <f aca="false">IF(J335="","",J335-F335-G335-K335)</f>
        <v/>
      </c>
      <c r="N335" s="40" t="str">
        <f aca="false">IF(OR(J335="",J335=0),"",M335/J335)</f>
        <v/>
      </c>
      <c r="O335" s="41" t="str">
        <f aca="true">IF(D335="","",IF(I335&lt;&gt;"",I335,TODAY())-D335)</f>
        <v/>
      </c>
    </row>
    <row r="336" customFormat="false" ht="15" hidden="false" customHeight="false" outlineLevel="0" collapsed="false">
      <c r="A336" s="9"/>
      <c r="B336" s="9"/>
      <c r="C336" s="9"/>
      <c r="D336" s="34"/>
      <c r="E336" s="9"/>
      <c r="F336" s="35"/>
      <c r="G336" s="35"/>
      <c r="H336" s="35"/>
      <c r="I336" s="34"/>
      <c r="J336" s="35"/>
      <c r="K336" s="35"/>
      <c r="L336" s="39" t="str">
        <f aca="false">IF(A336="","",IF(I336&lt;&gt;"","Vendu","En stock"))</f>
        <v/>
      </c>
      <c r="M336" s="17" t="str">
        <f aca="false">IF(J336="","",J336-F336-G336-K336)</f>
        <v/>
      </c>
      <c r="N336" s="40" t="str">
        <f aca="false">IF(OR(J336="",J336=0),"",M336/J336)</f>
        <v/>
      </c>
      <c r="O336" s="41" t="str">
        <f aca="true">IF(D336="","",IF(I336&lt;&gt;"",I336,TODAY())-D336)</f>
        <v/>
      </c>
    </row>
    <row r="337" customFormat="false" ht="15" hidden="false" customHeight="false" outlineLevel="0" collapsed="false">
      <c r="A337" s="9"/>
      <c r="B337" s="9"/>
      <c r="C337" s="9"/>
      <c r="D337" s="34"/>
      <c r="E337" s="9"/>
      <c r="F337" s="35"/>
      <c r="G337" s="35"/>
      <c r="H337" s="35"/>
      <c r="I337" s="34"/>
      <c r="J337" s="35"/>
      <c r="K337" s="35"/>
      <c r="L337" s="39" t="str">
        <f aca="false">IF(A337="","",IF(I337&lt;&gt;"","Vendu","En stock"))</f>
        <v/>
      </c>
      <c r="M337" s="17" t="str">
        <f aca="false">IF(J337="","",J337-F337-G337-K337)</f>
        <v/>
      </c>
      <c r="N337" s="40" t="str">
        <f aca="false">IF(OR(J337="",J337=0),"",M337/J337)</f>
        <v/>
      </c>
      <c r="O337" s="41" t="str">
        <f aca="true">IF(D337="","",IF(I337&lt;&gt;"",I337,TODAY())-D337)</f>
        <v/>
      </c>
    </row>
    <row r="338" customFormat="false" ht="15" hidden="false" customHeight="false" outlineLevel="0" collapsed="false">
      <c r="A338" s="9"/>
      <c r="B338" s="9"/>
      <c r="C338" s="9"/>
      <c r="D338" s="34"/>
      <c r="E338" s="9"/>
      <c r="F338" s="35"/>
      <c r="G338" s="35"/>
      <c r="H338" s="35"/>
      <c r="I338" s="34"/>
      <c r="J338" s="35"/>
      <c r="K338" s="35"/>
      <c r="L338" s="39" t="str">
        <f aca="false">IF(A338="","",IF(I338&lt;&gt;"","Vendu","En stock"))</f>
        <v/>
      </c>
      <c r="M338" s="17" t="str">
        <f aca="false">IF(J338="","",J338-F338-G338-K338)</f>
        <v/>
      </c>
      <c r="N338" s="40" t="str">
        <f aca="false">IF(OR(J338="",J338=0),"",M338/J338)</f>
        <v/>
      </c>
      <c r="O338" s="41" t="str">
        <f aca="true">IF(D338="","",IF(I338&lt;&gt;"",I338,TODAY())-D338)</f>
        <v/>
      </c>
    </row>
    <row r="339" customFormat="false" ht="15" hidden="false" customHeight="false" outlineLevel="0" collapsed="false">
      <c r="A339" s="9"/>
      <c r="B339" s="9"/>
      <c r="C339" s="9"/>
      <c r="D339" s="34"/>
      <c r="E339" s="9"/>
      <c r="F339" s="35"/>
      <c r="G339" s="35"/>
      <c r="H339" s="35"/>
      <c r="I339" s="34"/>
      <c r="J339" s="35"/>
      <c r="K339" s="35"/>
      <c r="L339" s="39" t="str">
        <f aca="false">IF(A339="","",IF(I339&lt;&gt;"","Vendu","En stock"))</f>
        <v/>
      </c>
      <c r="M339" s="17" t="str">
        <f aca="false">IF(J339="","",J339-F339-G339-K339)</f>
        <v/>
      </c>
      <c r="N339" s="40" t="str">
        <f aca="false">IF(OR(J339="",J339=0),"",M339/J339)</f>
        <v/>
      </c>
      <c r="O339" s="41" t="str">
        <f aca="true">IF(D339="","",IF(I339&lt;&gt;"",I339,TODAY())-D339)</f>
        <v/>
      </c>
    </row>
    <row r="340" customFormat="false" ht="15" hidden="false" customHeight="false" outlineLevel="0" collapsed="false">
      <c r="A340" s="9"/>
      <c r="B340" s="9"/>
      <c r="C340" s="9"/>
      <c r="D340" s="34"/>
      <c r="E340" s="9"/>
      <c r="F340" s="35"/>
      <c r="G340" s="35"/>
      <c r="H340" s="35"/>
      <c r="I340" s="34"/>
      <c r="J340" s="35"/>
      <c r="K340" s="35"/>
      <c r="L340" s="39" t="str">
        <f aca="false">IF(A340="","",IF(I340&lt;&gt;"","Vendu","En stock"))</f>
        <v/>
      </c>
      <c r="M340" s="17" t="str">
        <f aca="false">IF(J340="","",J340-F340-G340-K340)</f>
        <v/>
      </c>
      <c r="N340" s="40" t="str">
        <f aca="false">IF(OR(J340="",J340=0),"",M340/J340)</f>
        <v/>
      </c>
      <c r="O340" s="41" t="str">
        <f aca="true">IF(D340="","",IF(I340&lt;&gt;"",I340,TODAY())-D340)</f>
        <v/>
      </c>
    </row>
    <row r="341" customFormat="false" ht="15" hidden="false" customHeight="false" outlineLevel="0" collapsed="false">
      <c r="A341" s="9"/>
      <c r="B341" s="9"/>
      <c r="C341" s="9"/>
      <c r="D341" s="34"/>
      <c r="E341" s="9"/>
      <c r="F341" s="35"/>
      <c r="G341" s="35"/>
      <c r="H341" s="35"/>
      <c r="I341" s="34"/>
      <c r="J341" s="35"/>
      <c r="K341" s="35"/>
      <c r="L341" s="39" t="str">
        <f aca="false">IF(A341="","",IF(I341&lt;&gt;"","Vendu","En stock"))</f>
        <v/>
      </c>
      <c r="M341" s="17" t="str">
        <f aca="false">IF(J341="","",J341-F341-G341-K341)</f>
        <v/>
      </c>
      <c r="N341" s="40" t="str">
        <f aca="false">IF(OR(J341="",J341=0),"",M341/J341)</f>
        <v/>
      </c>
      <c r="O341" s="41" t="str">
        <f aca="true">IF(D341="","",IF(I341&lt;&gt;"",I341,TODAY())-D341)</f>
        <v/>
      </c>
    </row>
    <row r="342" customFormat="false" ht="15" hidden="false" customHeight="false" outlineLevel="0" collapsed="false">
      <c r="A342" s="9"/>
      <c r="B342" s="9"/>
      <c r="C342" s="9"/>
      <c r="D342" s="34"/>
      <c r="E342" s="9"/>
      <c r="F342" s="35"/>
      <c r="G342" s="35"/>
      <c r="H342" s="35"/>
      <c r="I342" s="34"/>
      <c r="J342" s="35"/>
      <c r="K342" s="35"/>
      <c r="L342" s="39" t="str">
        <f aca="false">IF(A342="","",IF(I342&lt;&gt;"","Vendu","En stock"))</f>
        <v/>
      </c>
      <c r="M342" s="17" t="str">
        <f aca="false">IF(J342="","",J342-F342-G342-K342)</f>
        <v/>
      </c>
      <c r="N342" s="40" t="str">
        <f aca="false">IF(OR(J342="",J342=0),"",M342/J342)</f>
        <v/>
      </c>
      <c r="O342" s="41" t="str">
        <f aca="true">IF(D342="","",IF(I342&lt;&gt;"",I342,TODAY())-D342)</f>
        <v/>
      </c>
    </row>
    <row r="343" customFormat="false" ht="15" hidden="false" customHeight="false" outlineLevel="0" collapsed="false">
      <c r="A343" s="9"/>
      <c r="B343" s="9"/>
      <c r="C343" s="9"/>
      <c r="D343" s="34"/>
      <c r="E343" s="9"/>
      <c r="F343" s="35"/>
      <c r="G343" s="35"/>
      <c r="H343" s="35"/>
      <c r="I343" s="34"/>
      <c r="J343" s="35"/>
      <c r="K343" s="35"/>
      <c r="L343" s="39" t="str">
        <f aca="false">IF(A343="","",IF(I343&lt;&gt;"","Vendu","En stock"))</f>
        <v/>
      </c>
      <c r="M343" s="17" t="str">
        <f aca="false">IF(J343="","",J343-F343-G343-K343)</f>
        <v/>
      </c>
      <c r="N343" s="40" t="str">
        <f aca="false">IF(OR(J343="",J343=0),"",M343/J343)</f>
        <v/>
      </c>
      <c r="O343" s="41" t="str">
        <f aca="true">IF(D343="","",IF(I343&lt;&gt;"",I343,TODAY())-D343)</f>
        <v/>
      </c>
    </row>
    <row r="344" customFormat="false" ht="15" hidden="false" customHeight="false" outlineLevel="0" collapsed="false">
      <c r="A344" s="9"/>
      <c r="B344" s="9"/>
      <c r="C344" s="9"/>
      <c r="D344" s="34"/>
      <c r="E344" s="9"/>
      <c r="F344" s="35"/>
      <c r="G344" s="35"/>
      <c r="H344" s="35"/>
      <c r="I344" s="34"/>
      <c r="J344" s="35"/>
      <c r="K344" s="35"/>
      <c r="L344" s="39" t="str">
        <f aca="false">IF(A344="","",IF(I344&lt;&gt;"","Vendu","En stock"))</f>
        <v/>
      </c>
      <c r="M344" s="17" t="str">
        <f aca="false">IF(J344="","",J344-F344-G344-K344)</f>
        <v/>
      </c>
      <c r="N344" s="40" t="str">
        <f aca="false">IF(OR(J344="",J344=0),"",M344/J344)</f>
        <v/>
      </c>
      <c r="O344" s="41" t="str">
        <f aca="true">IF(D344="","",IF(I344&lt;&gt;"",I344,TODAY())-D344)</f>
        <v/>
      </c>
    </row>
    <row r="345" customFormat="false" ht="15" hidden="false" customHeight="false" outlineLevel="0" collapsed="false">
      <c r="A345" s="9"/>
      <c r="B345" s="9"/>
      <c r="C345" s="9"/>
      <c r="D345" s="34"/>
      <c r="E345" s="9"/>
      <c r="F345" s="35"/>
      <c r="G345" s="35"/>
      <c r="H345" s="35"/>
      <c r="I345" s="34"/>
      <c r="J345" s="35"/>
      <c r="K345" s="35"/>
      <c r="L345" s="39" t="str">
        <f aca="false">IF(A345="","",IF(I345&lt;&gt;"","Vendu","En stock"))</f>
        <v/>
      </c>
      <c r="M345" s="17" t="str">
        <f aca="false">IF(J345="","",J345-F345-G345-K345)</f>
        <v/>
      </c>
      <c r="N345" s="40" t="str">
        <f aca="false">IF(OR(J345="",J345=0),"",M345/J345)</f>
        <v/>
      </c>
      <c r="O345" s="41" t="str">
        <f aca="true">IF(D345="","",IF(I345&lt;&gt;"",I345,TODAY())-D345)</f>
        <v/>
      </c>
    </row>
    <row r="346" customFormat="false" ht="15" hidden="false" customHeight="false" outlineLevel="0" collapsed="false">
      <c r="A346" s="9"/>
      <c r="B346" s="9"/>
      <c r="C346" s="9"/>
      <c r="D346" s="34"/>
      <c r="E346" s="9"/>
      <c r="F346" s="35"/>
      <c r="G346" s="35"/>
      <c r="H346" s="35"/>
      <c r="I346" s="34"/>
      <c r="J346" s="35"/>
      <c r="K346" s="35"/>
      <c r="L346" s="39" t="str">
        <f aca="false">IF(A346="","",IF(I346&lt;&gt;"","Vendu","En stock"))</f>
        <v/>
      </c>
      <c r="M346" s="17" t="str">
        <f aca="false">IF(J346="","",J346-F346-G346-K346)</f>
        <v/>
      </c>
      <c r="N346" s="40" t="str">
        <f aca="false">IF(OR(J346="",J346=0),"",M346/J346)</f>
        <v/>
      </c>
      <c r="O346" s="41" t="str">
        <f aca="true">IF(D346="","",IF(I346&lt;&gt;"",I346,TODAY())-D346)</f>
        <v/>
      </c>
    </row>
    <row r="347" customFormat="false" ht="15" hidden="false" customHeight="false" outlineLevel="0" collapsed="false">
      <c r="A347" s="9"/>
      <c r="B347" s="9"/>
      <c r="C347" s="9"/>
      <c r="D347" s="34"/>
      <c r="E347" s="9"/>
      <c r="F347" s="35"/>
      <c r="G347" s="35"/>
      <c r="H347" s="35"/>
      <c r="I347" s="34"/>
      <c r="J347" s="35"/>
      <c r="K347" s="35"/>
      <c r="L347" s="39" t="str">
        <f aca="false">IF(A347="","",IF(I347&lt;&gt;"","Vendu","En stock"))</f>
        <v/>
      </c>
      <c r="M347" s="17" t="str">
        <f aca="false">IF(J347="","",J347-F347-G347-K347)</f>
        <v/>
      </c>
      <c r="N347" s="40" t="str">
        <f aca="false">IF(OR(J347="",J347=0),"",M347/J347)</f>
        <v/>
      </c>
      <c r="O347" s="41" t="str">
        <f aca="true">IF(D347="","",IF(I347&lt;&gt;"",I347,TODAY())-D347)</f>
        <v/>
      </c>
    </row>
    <row r="348" customFormat="false" ht="15" hidden="false" customHeight="false" outlineLevel="0" collapsed="false">
      <c r="A348" s="9"/>
      <c r="B348" s="9"/>
      <c r="C348" s="9"/>
      <c r="D348" s="34"/>
      <c r="E348" s="9"/>
      <c r="F348" s="35"/>
      <c r="G348" s="35"/>
      <c r="H348" s="35"/>
      <c r="I348" s="34"/>
      <c r="J348" s="35"/>
      <c r="K348" s="35"/>
      <c r="L348" s="39" t="str">
        <f aca="false">IF(A348="","",IF(I348&lt;&gt;"","Vendu","En stock"))</f>
        <v/>
      </c>
      <c r="M348" s="17" t="str">
        <f aca="false">IF(J348="","",J348-F348-G348-K348)</f>
        <v/>
      </c>
      <c r="N348" s="40" t="str">
        <f aca="false">IF(OR(J348="",J348=0),"",M348/J348)</f>
        <v/>
      </c>
      <c r="O348" s="41" t="str">
        <f aca="true">IF(D348="","",IF(I348&lt;&gt;"",I348,TODAY())-D348)</f>
        <v/>
      </c>
    </row>
    <row r="349" customFormat="false" ht="15" hidden="false" customHeight="false" outlineLevel="0" collapsed="false">
      <c r="A349" s="9"/>
      <c r="B349" s="9"/>
      <c r="C349" s="9"/>
      <c r="D349" s="34"/>
      <c r="E349" s="9"/>
      <c r="F349" s="35"/>
      <c r="G349" s="35"/>
      <c r="H349" s="35"/>
      <c r="I349" s="34"/>
      <c r="J349" s="35"/>
      <c r="K349" s="35"/>
      <c r="L349" s="39" t="str">
        <f aca="false">IF(A349="","",IF(I349&lt;&gt;"","Vendu","En stock"))</f>
        <v/>
      </c>
      <c r="M349" s="17" t="str">
        <f aca="false">IF(J349="","",J349-F349-G349-K349)</f>
        <v/>
      </c>
      <c r="N349" s="40" t="str">
        <f aca="false">IF(OR(J349="",J349=0),"",M349/J349)</f>
        <v/>
      </c>
      <c r="O349" s="41" t="str">
        <f aca="true">IF(D349="","",IF(I349&lt;&gt;"",I349,TODAY())-D349)</f>
        <v/>
      </c>
    </row>
    <row r="350" customFormat="false" ht="15" hidden="false" customHeight="false" outlineLevel="0" collapsed="false">
      <c r="A350" s="9"/>
      <c r="B350" s="9"/>
      <c r="C350" s="9"/>
      <c r="D350" s="34"/>
      <c r="E350" s="9"/>
      <c r="F350" s="35"/>
      <c r="G350" s="35"/>
      <c r="H350" s="35"/>
      <c r="I350" s="34"/>
      <c r="J350" s="35"/>
      <c r="K350" s="35"/>
      <c r="L350" s="39" t="str">
        <f aca="false">IF(A350="","",IF(I350&lt;&gt;"","Vendu","En stock"))</f>
        <v/>
      </c>
      <c r="M350" s="17" t="str">
        <f aca="false">IF(J350="","",J350-F350-G350-K350)</f>
        <v/>
      </c>
      <c r="N350" s="40" t="str">
        <f aca="false">IF(OR(J350="",J350=0),"",M350/J350)</f>
        <v/>
      </c>
      <c r="O350" s="41" t="str">
        <f aca="true">IF(D350="","",IF(I350&lt;&gt;"",I350,TODAY())-D350)</f>
        <v/>
      </c>
    </row>
    <row r="351" customFormat="false" ht="15" hidden="false" customHeight="false" outlineLevel="0" collapsed="false">
      <c r="A351" s="9"/>
      <c r="B351" s="9"/>
      <c r="C351" s="9"/>
      <c r="D351" s="34"/>
      <c r="E351" s="9"/>
      <c r="F351" s="35"/>
      <c r="G351" s="35"/>
      <c r="H351" s="35"/>
      <c r="I351" s="34"/>
      <c r="J351" s="35"/>
      <c r="K351" s="35"/>
      <c r="L351" s="39" t="str">
        <f aca="false">IF(A351="","",IF(I351&lt;&gt;"","Vendu","En stock"))</f>
        <v/>
      </c>
      <c r="M351" s="17" t="str">
        <f aca="false">IF(J351="","",J351-F351-G351-K351)</f>
        <v/>
      </c>
      <c r="N351" s="40" t="str">
        <f aca="false">IF(OR(J351="",J351=0),"",M351/J351)</f>
        <v/>
      </c>
      <c r="O351" s="41" t="str">
        <f aca="true">IF(D351="","",IF(I351&lt;&gt;"",I351,TODAY())-D351)</f>
        <v/>
      </c>
    </row>
    <row r="352" customFormat="false" ht="15" hidden="false" customHeight="false" outlineLevel="0" collapsed="false">
      <c r="A352" s="9"/>
      <c r="B352" s="9"/>
      <c r="C352" s="9"/>
      <c r="D352" s="34"/>
      <c r="E352" s="9"/>
      <c r="F352" s="35"/>
      <c r="G352" s="35"/>
      <c r="H352" s="35"/>
      <c r="I352" s="34"/>
      <c r="J352" s="35"/>
      <c r="K352" s="35"/>
      <c r="L352" s="39" t="str">
        <f aca="false">IF(A352="","",IF(I352&lt;&gt;"","Vendu","En stock"))</f>
        <v/>
      </c>
      <c r="M352" s="17" t="str">
        <f aca="false">IF(J352="","",J352-F352-G352-K352)</f>
        <v/>
      </c>
      <c r="N352" s="40" t="str">
        <f aca="false">IF(OR(J352="",J352=0),"",M352/J352)</f>
        <v/>
      </c>
      <c r="O352" s="41" t="str">
        <f aca="true">IF(D352="","",IF(I352&lt;&gt;"",I352,TODAY())-D352)</f>
        <v/>
      </c>
    </row>
    <row r="353" customFormat="false" ht="15" hidden="false" customHeight="false" outlineLevel="0" collapsed="false">
      <c r="A353" s="9"/>
      <c r="B353" s="9"/>
      <c r="C353" s="9"/>
      <c r="D353" s="34"/>
      <c r="E353" s="9"/>
      <c r="F353" s="35"/>
      <c r="G353" s="35"/>
      <c r="H353" s="35"/>
      <c r="I353" s="34"/>
      <c r="J353" s="35"/>
      <c r="K353" s="35"/>
      <c r="L353" s="39" t="str">
        <f aca="false">IF(A353="","",IF(I353&lt;&gt;"","Vendu","En stock"))</f>
        <v/>
      </c>
      <c r="M353" s="17" t="str">
        <f aca="false">IF(J353="","",J353-F353-G353-K353)</f>
        <v/>
      </c>
      <c r="N353" s="40" t="str">
        <f aca="false">IF(OR(J353="",J353=0),"",M353/J353)</f>
        <v/>
      </c>
      <c r="O353" s="41" t="str">
        <f aca="true">IF(D353="","",IF(I353&lt;&gt;"",I353,TODAY())-D353)</f>
        <v/>
      </c>
    </row>
    <row r="354" customFormat="false" ht="15" hidden="false" customHeight="false" outlineLevel="0" collapsed="false">
      <c r="A354" s="9"/>
      <c r="B354" s="9"/>
      <c r="C354" s="9"/>
      <c r="D354" s="34"/>
      <c r="E354" s="9"/>
      <c r="F354" s="35"/>
      <c r="G354" s="35"/>
      <c r="H354" s="35"/>
      <c r="I354" s="34"/>
      <c r="J354" s="35"/>
      <c r="K354" s="35"/>
      <c r="L354" s="39" t="str">
        <f aca="false">IF(A354="","",IF(I354&lt;&gt;"","Vendu","En stock"))</f>
        <v/>
      </c>
      <c r="M354" s="17" t="str">
        <f aca="false">IF(J354="","",J354-F354-G354-K354)</f>
        <v/>
      </c>
      <c r="N354" s="40" t="str">
        <f aca="false">IF(OR(J354="",J354=0),"",M354/J354)</f>
        <v/>
      </c>
      <c r="O354" s="41" t="str">
        <f aca="true">IF(D354="","",IF(I354&lt;&gt;"",I354,TODAY())-D354)</f>
        <v/>
      </c>
    </row>
    <row r="355" customFormat="false" ht="15" hidden="false" customHeight="false" outlineLevel="0" collapsed="false">
      <c r="A355" s="9"/>
      <c r="B355" s="9"/>
      <c r="C355" s="9"/>
      <c r="D355" s="34"/>
      <c r="E355" s="9"/>
      <c r="F355" s="35"/>
      <c r="G355" s="35"/>
      <c r="H355" s="35"/>
      <c r="I355" s="34"/>
      <c r="J355" s="35"/>
      <c r="K355" s="35"/>
      <c r="L355" s="39" t="str">
        <f aca="false">IF(A355="","",IF(I355&lt;&gt;"","Vendu","En stock"))</f>
        <v/>
      </c>
      <c r="M355" s="17" t="str">
        <f aca="false">IF(J355="","",J355-F355-G355-K355)</f>
        <v/>
      </c>
      <c r="N355" s="40" t="str">
        <f aca="false">IF(OR(J355="",J355=0),"",M355/J355)</f>
        <v/>
      </c>
      <c r="O355" s="41" t="str">
        <f aca="true">IF(D355="","",IF(I355&lt;&gt;"",I355,TODAY())-D355)</f>
        <v/>
      </c>
    </row>
    <row r="356" customFormat="false" ht="15" hidden="false" customHeight="false" outlineLevel="0" collapsed="false">
      <c r="A356" s="9"/>
      <c r="B356" s="9"/>
      <c r="C356" s="9"/>
      <c r="D356" s="34"/>
      <c r="E356" s="9"/>
      <c r="F356" s="35"/>
      <c r="G356" s="35"/>
      <c r="H356" s="35"/>
      <c r="I356" s="34"/>
      <c r="J356" s="35"/>
      <c r="K356" s="35"/>
      <c r="L356" s="39" t="str">
        <f aca="false">IF(A356="","",IF(I356&lt;&gt;"","Vendu","En stock"))</f>
        <v/>
      </c>
      <c r="M356" s="17" t="str">
        <f aca="false">IF(J356="","",J356-F356-G356-K356)</f>
        <v/>
      </c>
      <c r="N356" s="40" t="str">
        <f aca="false">IF(OR(J356="",J356=0),"",M356/J356)</f>
        <v/>
      </c>
      <c r="O356" s="41" t="str">
        <f aca="true">IF(D356="","",IF(I356&lt;&gt;"",I356,TODAY())-D356)</f>
        <v/>
      </c>
    </row>
    <row r="357" customFormat="false" ht="15" hidden="false" customHeight="false" outlineLevel="0" collapsed="false">
      <c r="A357" s="9"/>
      <c r="B357" s="9"/>
      <c r="C357" s="9"/>
      <c r="D357" s="34"/>
      <c r="E357" s="9"/>
      <c r="F357" s="35"/>
      <c r="G357" s="35"/>
      <c r="H357" s="35"/>
      <c r="I357" s="34"/>
      <c r="J357" s="35"/>
      <c r="K357" s="35"/>
      <c r="L357" s="39" t="str">
        <f aca="false">IF(A357="","",IF(I357&lt;&gt;"","Vendu","En stock"))</f>
        <v/>
      </c>
      <c r="M357" s="17" t="str">
        <f aca="false">IF(J357="","",J357-F357-G357-K357)</f>
        <v/>
      </c>
      <c r="N357" s="40" t="str">
        <f aca="false">IF(OR(J357="",J357=0),"",M357/J357)</f>
        <v/>
      </c>
      <c r="O357" s="41" t="str">
        <f aca="true">IF(D357="","",IF(I357&lt;&gt;"",I357,TODAY())-D357)</f>
        <v/>
      </c>
    </row>
    <row r="358" customFormat="false" ht="15" hidden="false" customHeight="false" outlineLevel="0" collapsed="false">
      <c r="A358" s="9"/>
      <c r="B358" s="9"/>
      <c r="C358" s="9"/>
      <c r="D358" s="34"/>
      <c r="E358" s="9"/>
      <c r="F358" s="35"/>
      <c r="G358" s="35"/>
      <c r="H358" s="35"/>
      <c r="I358" s="34"/>
      <c r="J358" s="35"/>
      <c r="K358" s="35"/>
      <c r="L358" s="39" t="str">
        <f aca="false">IF(A358="","",IF(I358&lt;&gt;"","Vendu","En stock"))</f>
        <v/>
      </c>
      <c r="M358" s="17" t="str">
        <f aca="false">IF(J358="","",J358-F358-G358-K358)</f>
        <v/>
      </c>
      <c r="N358" s="40" t="str">
        <f aca="false">IF(OR(J358="",J358=0),"",M358/J358)</f>
        <v/>
      </c>
      <c r="O358" s="41" t="str">
        <f aca="true">IF(D358="","",IF(I358&lt;&gt;"",I358,TODAY())-D358)</f>
        <v/>
      </c>
    </row>
    <row r="359" customFormat="false" ht="15" hidden="false" customHeight="false" outlineLevel="0" collapsed="false">
      <c r="A359" s="9"/>
      <c r="B359" s="9"/>
      <c r="C359" s="9"/>
      <c r="D359" s="34"/>
      <c r="E359" s="9"/>
      <c r="F359" s="35"/>
      <c r="G359" s="35"/>
      <c r="H359" s="35"/>
      <c r="I359" s="34"/>
      <c r="J359" s="35"/>
      <c r="K359" s="35"/>
      <c r="L359" s="39" t="str">
        <f aca="false">IF(A359="","",IF(I359&lt;&gt;"","Vendu","En stock"))</f>
        <v/>
      </c>
      <c r="M359" s="17" t="str">
        <f aca="false">IF(J359="","",J359-F359-G359-K359)</f>
        <v/>
      </c>
      <c r="N359" s="40" t="str">
        <f aca="false">IF(OR(J359="",J359=0),"",M359/J359)</f>
        <v/>
      </c>
      <c r="O359" s="41" t="str">
        <f aca="true">IF(D359="","",IF(I359&lt;&gt;"",I359,TODAY())-D359)</f>
        <v/>
      </c>
    </row>
    <row r="360" customFormat="false" ht="15" hidden="false" customHeight="false" outlineLevel="0" collapsed="false">
      <c r="A360" s="9"/>
      <c r="B360" s="9"/>
      <c r="C360" s="9"/>
      <c r="D360" s="34"/>
      <c r="E360" s="9"/>
      <c r="F360" s="35"/>
      <c r="G360" s="35"/>
      <c r="H360" s="35"/>
      <c r="I360" s="34"/>
      <c r="J360" s="35"/>
      <c r="K360" s="35"/>
      <c r="L360" s="39" t="str">
        <f aca="false">IF(A360="","",IF(I360&lt;&gt;"","Vendu","En stock"))</f>
        <v/>
      </c>
      <c r="M360" s="17" t="str">
        <f aca="false">IF(J360="","",J360-F360-G360-K360)</f>
        <v/>
      </c>
      <c r="N360" s="40" t="str">
        <f aca="false">IF(OR(J360="",J360=0),"",M360/J360)</f>
        <v/>
      </c>
      <c r="O360" s="41" t="str">
        <f aca="true">IF(D360="","",IF(I360&lt;&gt;"",I360,TODAY())-D360)</f>
        <v/>
      </c>
    </row>
    <row r="361" customFormat="false" ht="15" hidden="false" customHeight="false" outlineLevel="0" collapsed="false">
      <c r="A361" s="9"/>
      <c r="B361" s="9"/>
      <c r="C361" s="9"/>
      <c r="D361" s="34"/>
      <c r="E361" s="9"/>
      <c r="F361" s="35"/>
      <c r="G361" s="35"/>
      <c r="H361" s="35"/>
      <c r="I361" s="34"/>
      <c r="J361" s="35"/>
      <c r="K361" s="35"/>
      <c r="L361" s="39" t="str">
        <f aca="false">IF(A361="","",IF(I361&lt;&gt;"","Vendu","En stock"))</f>
        <v/>
      </c>
      <c r="M361" s="17" t="str">
        <f aca="false">IF(J361="","",J361-F361-G361-K361)</f>
        <v/>
      </c>
      <c r="N361" s="40" t="str">
        <f aca="false">IF(OR(J361="",J361=0),"",M361/J361)</f>
        <v/>
      </c>
      <c r="O361" s="41" t="str">
        <f aca="true">IF(D361="","",IF(I361&lt;&gt;"",I361,TODAY())-D361)</f>
        <v/>
      </c>
    </row>
    <row r="362" customFormat="false" ht="15" hidden="false" customHeight="false" outlineLevel="0" collapsed="false">
      <c r="A362" s="9"/>
      <c r="B362" s="9"/>
      <c r="C362" s="9"/>
      <c r="D362" s="34"/>
      <c r="E362" s="9"/>
      <c r="F362" s="35"/>
      <c r="G362" s="35"/>
      <c r="H362" s="35"/>
      <c r="I362" s="34"/>
      <c r="J362" s="35"/>
      <c r="K362" s="35"/>
      <c r="L362" s="39" t="str">
        <f aca="false">IF(A362="","",IF(I362&lt;&gt;"","Vendu","En stock"))</f>
        <v/>
      </c>
      <c r="M362" s="17" t="str">
        <f aca="false">IF(J362="","",J362-F362-G362-K362)</f>
        <v/>
      </c>
      <c r="N362" s="40" t="str">
        <f aca="false">IF(OR(J362="",J362=0),"",M362/J362)</f>
        <v/>
      </c>
      <c r="O362" s="41" t="str">
        <f aca="true">IF(D362="","",IF(I362&lt;&gt;"",I362,TODAY())-D362)</f>
        <v/>
      </c>
    </row>
    <row r="363" customFormat="false" ht="15" hidden="false" customHeight="false" outlineLevel="0" collapsed="false">
      <c r="A363" s="9"/>
      <c r="B363" s="9"/>
      <c r="C363" s="9"/>
      <c r="D363" s="34"/>
      <c r="E363" s="9"/>
      <c r="F363" s="35"/>
      <c r="G363" s="35"/>
      <c r="H363" s="35"/>
      <c r="I363" s="34"/>
      <c r="J363" s="35"/>
      <c r="K363" s="35"/>
      <c r="L363" s="39" t="str">
        <f aca="false">IF(A363="","",IF(I363&lt;&gt;"","Vendu","En stock"))</f>
        <v/>
      </c>
      <c r="M363" s="17" t="str">
        <f aca="false">IF(J363="","",J363-F363-G363-K363)</f>
        <v/>
      </c>
      <c r="N363" s="40" t="str">
        <f aca="false">IF(OR(J363="",J363=0),"",M363/J363)</f>
        <v/>
      </c>
      <c r="O363" s="41" t="str">
        <f aca="true">IF(D363="","",IF(I363&lt;&gt;"",I363,TODAY())-D363)</f>
        <v/>
      </c>
    </row>
    <row r="364" customFormat="false" ht="15" hidden="false" customHeight="false" outlineLevel="0" collapsed="false">
      <c r="A364" s="9"/>
      <c r="B364" s="9"/>
      <c r="C364" s="9"/>
      <c r="D364" s="34"/>
      <c r="E364" s="9"/>
      <c r="F364" s="35"/>
      <c r="G364" s="35"/>
      <c r="H364" s="35"/>
      <c r="I364" s="34"/>
      <c r="J364" s="35"/>
      <c r="K364" s="35"/>
      <c r="L364" s="39" t="str">
        <f aca="false">IF(A364="","",IF(I364&lt;&gt;"","Vendu","En stock"))</f>
        <v/>
      </c>
      <c r="M364" s="17" t="str">
        <f aca="false">IF(J364="","",J364-F364-G364-K364)</f>
        <v/>
      </c>
      <c r="N364" s="40" t="str">
        <f aca="false">IF(OR(J364="",J364=0),"",M364/J364)</f>
        <v/>
      </c>
      <c r="O364" s="41" t="str">
        <f aca="true">IF(D364="","",IF(I364&lt;&gt;"",I364,TODAY())-D364)</f>
        <v/>
      </c>
    </row>
    <row r="365" customFormat="false" ht="15" hidden="false" customHeight="false" outlineLevel="0" collapsed="false">
      <c r="A365" s="9"/>
      <c r="B365" s="9"/>
      <c r="C365" s="9"/>
      <c r="D365" s="34"/>
      <c r="E365" s="9"/>
      <c r="F365" s="35"/>
      <c r="G365" s="35"/>
      <c r="H365" s="35"/>
      <c r="I365" s="34"/>
      <c r="J365" s="35"/>
      <c r="K365" s="35"/>
      <c r="L365" s="39" t="str">
        <f aca="false">IF(A365="","",IF(I365&lt;&gt;"","Vendu","En stock"))</f>
        <v/>
      </c>
      <c r="M365" s="17" t="str">
        <f aca="false">IF(J365="","",J365-F365-G365-K365)</f>
        <v/>
      </c>
      <c r="N365" s="40" t="str">
        <f aca="false">IF(OR(J365="",J365=0),"",M365/J365)</f>
        <v/>
      </c>
      <c r="O365" s="41" t="str">
        <f aca="true">IF(D365="","",IF(I365&lt;&gt;"",I365,TODAY())-D365)</f>
        <v/>
      </c>
    </row>
    <row r="366" customFormat="false" ht="15" hidden="false" customHeight="false" outlineLevel="0" collapsed="false">
      <c r="A366" s="9"/>
      <c r="B366" s="9"/>
      <c r="C366" s="9"/>
      <c r="D366" s="34"/>
      <c r="E366" s="9"/>
      <c r="F366" s="35"/>
      <c r="G366" s="35"/>
      <c r="H366" s="35"/>
      <c r="I366" s="34"/>
      <c r="J366" s="35"/>
      <c r="K366" s="35"/>
      <c r="L366" s="39" t="str">
        <f aca="false">IF(A366="","",IF(I366&lt;&gt;"","Vendu","En stock"))</f>
        <v/>
      </c>
      <c r="M366" s="17" t="str">
        <f aca="false">IF(J366="","",J366-F366-G366-K366)</f>
        <v/>
      </c>
      <c r="N366" s="40" t="str">
        <f aca="false">IF(OR(J366="",J366=0),"",M366/J366)</f>
        <v/>
      </c>
      <c r="O366" s="41" t="str">
        <f aca="true">IF(D366="","",IF(I366&lt;&gt;"",I366,TODAY())-D366)</f>
        <v/>
      </c>
    </row>
    <row r="367" customFormat="false" ht="15" hidden="false" customHeight="false" outlineLevel="0" collapsed="false">
      <c r="A367" s="9"/>
      <c r="B367" s="9"/>
      <c r="C367" s="9"/>
      <c r="D367" s="34"/>
      <c r="E367" s="9"/>
      <c r="F367" s="35"/>
      <c r="G367" s="35"/>
      <c r="H367" s="35"/>
      <c r="I367" s="34"/>
      <c r="J367" s="35"/>
      <c r="K367" s="35"/>
      <c r="L367" s="39" t="str">
        <f aca="false">IF(A367="","",IF(I367&lt;&gt;"","Vendu","En stock"))</f>
        <v/>
      </c>
      <c r="M367" s="17" t="str">
        <f aca="false">IF(J367="","",J367-F367-G367-K367)</f>
        <v/>
      </c>
      <c r="N367" s="40" t="str">
        <f aca="false">IF(OR(J367="",J367=0),"",M367/J367)</f>
        <v/>
      </c>
      <c r="O367" s="41" t="str">
        <f aca="true">IF(D367="","",IF(I367&lt;&gt;"",I367,TODAY())-D367)</f>
        <v/>
      </c>
    </row>
    <row r="368" customFormat="false" ht="15" hidden="false" customHeight="false" outlineLevel="0" collapsed="false">
      <c r="A368" s="9"/>
      <c r="B368" s="9"/>
      <c r="C368" s="9"/>
      <c r="D368" s="34"/>
      <c r="E368" s="9"/>
      <c r="F368" s="35"/>
      <c r="G368" s="35"/>
      <c r="H368" s="35"/>
      <c r="I368" s="34"/>
      <c r="J368" s="35"/>
      <c r="K368" s="35"/>
      <c r="L368" s="39" t="str">
        <f aca="false">IF(A368="","",IF(I368&lt;&gt;"","Vendu","En stock"))</f>
        <v/>
      </c>
      <c r="M368" s="17" t="str">
        <f aca="false">IF(J368="","",J368-F368-G368-K368)</f>
        <v/>
      </c>
      <c r="N368" s="40" t="str">
        <f aca="false">IF(OR(J368="",J368=0),"",M368/J368)</f>
        <v/>
      </c>
      <c r="O368" s="41" t="str">
        <f aca="true">IF(D368="","",IF(I368&lt;&gt;"",I368,TODAY())-D368)</f>
        <v/>
      </c>
    </row>
    <row r="369" customFormat="false" ht="15" hidden="false" customHeight="false" outlineLevel="0" collapsed="false">
      <c r="A369" s="9"/>
      <c r="B369" s="9"/>
      <c r="C369" s="9"/>
      <c r="D369" s="34"/>
      <c r="E369" s="9"/>
      <c r="F369" s="35"/>
      <c r="G369" s="35"/>
      <c r="H369" s="35"/>
      <c r="I369" s="34"/>
      <c r="J369" s="35"/>
      <c r="K369" s="35"/>
      <c r="L369" s="39" t="str">
        <f aca="false">IF(A369="","",IF(I369&lt;&gt;"","Vendu","En stock"))</f>
        <v/>
      </c>
      <c r="M369" s="17" t="str">
        <f aca="false">IF(J369="","",J369-F369-G369-K369)</f>
        <v/>
      </c>
      <c r="N369" s="40" t="str">
        <f aca="false">IF(OR(J369="",J369=0),"",M369/J369)</f>
        <v/>
      </c>
      <c r="O369" s="41" t="str">
        <f aca="true">IF(D369="","",IF(I369&lt;&gt;"",I369,TODAY())-D369)</f>
        <v/>
      </c>
    </row>
    <row r="370" customFormat="false" ht="15" hidden="false" customHeight="false" outlineLevel="0" collapsed="false">
      <c r="A370" s="9"/>
      <c r="B370" s="9"/>
      <c r="C370" s="9"/>
      <c r="D370" s="34"/>
      <c r="E370" s="9"/>
      <c r="F370" s="35"/>
      <c r="G370" s="35"/>
      <c r="H370" s="35"/>
      <c r="I370" s="34"/>
      <c r="J370" s="35"/>
      <c r="K370" s="35"/>
      <c r="L370" s="39" t="str">
        <f aca="false">IF(A370="","",IF(I370&lt;&gt;"","Vendu","En stock"))</f>
        <v/>
      </c>
      <c r="M370" s="17" t="str">
        <f aca="false">IF(J370="","",J370-F370-G370-K370)</f>
        <v/>
      </c>
      <c r="N370" s="40" t="str">
        <f aca="false">IF(OR(J370="",J370=0),"",M370/J370)</f>
        <v/>
      </c>
      <c r="O370" s="41" t="str">
        <f aca="true">IF(D370="","",IF(I370&lt;&gt;"",I370,TODAY())-D370)</f>
        <v/>
      </c>
    </row>
    <row r="371" customFormat="false" ht="15" hidden="false" customHeight="false" outlineLevel="0" collapsed="false">
      <c r="A371" s="9"/>
      <c r="B371" s="9"/>
      <c r="C371" s="9"/>
      <c r="D371" s="34"/>
      <c r="E371" s="9"/>
      <c r="F371" s="35"/>
      <c r="G371" s="35"/>
      <c r="H371" s="35"/>
      <c r="I371" s="34"/>
      <c r="J371" s="35"/>
      <c r="K371" s="35"/>
      <c r="L371" s="39" t="str">
        <f aca="false">IF(A371="","",IF(I371&lt;&gt;"","Vendu","En stock"))</f>
        <v/>
      </c>
      <c r="M371" s="17" t="str">
        <f aca="false">IF(J371="","",J371-F371-G371-K371)</f>
        <v/>
      </c>
      <c r="N371" s="40" t="str">
        <f aca="false">IF(OR(J371="",J371=0),"",M371/J371)</f>
        <v/>
      </c>
      <c r="O371" s="41" t="str">
        <f aca="true">IF(D371="","",IF(I371&lt;&gt;"",I371,TODAY())-D371)</f>
        <v/>
      </c>
    </row>
    <row r="372" customFormat="false" ht="15" hidden="false" customHeight="false" outlineLevel="0" collapsed="false">
      <c r="A372" s="9"/>
      <c r="B372" s="9"/>
      <c r="C372" s="9"/>
      <c r="D372" s="34"/>
      <c r="E372" s="9"/>
      <c r="F372" s="35"/>
      <c r="G372" s="35"/>
      <c r="H372" s="35"/>
      <c r="I372" s="34"/>
      <c r="J372" s="35"/>
      <c r="K372" s="35"/>
      <c r="L372" s="39" t="str">
        <f aca="false">IF(A372="","",IF(I372&lt;&gt;"","Vendu","En stock"))</f>
        <v/>
      </c>
      <c r="M372" s="17" t="str">
        <f aca="false">IF(J372="","",J372-F372-G372-K372)</f>
        <v/>
      </c>
      <c r="N372" s="40" t="str">
        <f aca="false">IF(OR(J372="",J372=0),"",M372/J372)</f>
        <v/>
      </c>
      <c r="O372" s="41" t="str">
        <f aca="true">IF(D372="","",IF(I372&lt;&gt;"",I372,TODAY())-D372)</f>
        <v/>
      </c>
    </row>
    <row r="373" customFormat="false" ht="15" hidden="false" customHeight="false" outlineLevel="0" collapsed="false">
      <c r="A373" s="9"/>
      <c r="B373" s="9"/>
      <c r="C373" s="9"/>
      <c r="D373" s="34"/>
      <c r="E373" s="9"/>
      <c r="F373" s="35"/>
      <c r="G373" s="35"/>
      <c r="H373" s="35"/>
      <c r="I373" s="34"/>
      <c r="J373" s="35"/>
      <c r="K373" s="35"/>
      <c r="L373" s="39" t="str">
        <f aca="false">IF(A373="","",IF(I373&lt;&gt;"","Vendu","En stock"))</f>
        <v/>
      </c>
      <c r="M373" s="17" t="str">
        <f aca="false">IF(J373="","",J373-F373-G373-K373)</f>
        <v/>
      </c>
      <c r="N373" s="40" t="str">
        <f aca="false">IF(OR(J373="",J373=0),"",M373/J373)</f>
        <v/>
      </c>
      <c r="O373" s="41" t="str">
        <f aca="true">IF(D373="","",IF(I373&lt;&gt;"",I373,TODAY())-D373)</f>
        <v/>
      </c>
    </row>
    <row r="374" customFormat="false" ht="15" hidden="false" customHeight="false" outlineLevel="0" collapsed="false">
      <c r="A374" s="9"/>
      <c r="B374" s="9"/>
      <c r="C374" s="9"/>
      <c r="D374" s="34"/>
      <c r="E374" s="9"/>
      <c r="F374" s="35"/>
      <c r="G374" s="35"/>
      <c r="H374" s="35"/>
      <c r="I374" s="34"/>
      <c r="J374" s="35"/>
      <c r="K374" s="35"/>
      <c r="L374" s="39" t="str">
        <f aca="false">IF(A374="","",IF(I374&lt;&gt;"","Vendu","En stock"))</f>
        <v/>
      </c>
      <c r="M374" s="17" t="str">
        <f aca="false">IF(J374="","",J374-F374-G374-K374)</f>
        <v/>
      </c>
      <c r="N374" s="40" t="str">
        <f aca="false">IF(OR(J374="",J374=0),"",M374/J374)</f>
        <v/>
      </c>
      <c r="O374" s="41" t="str">
        <f aca="true">IF(D374="","",IF(I374&lt;&gt;"",I374,TODAY())-D374)</f>
        <v/>
      </c>
    </row>
    <row r="375" customFormat="false" ht="15" hidden="false" customHeight="false" outlineLevel="0" collapsed="false">
      <c r="A375" s="9"/>
      <c r="B375" s="9"/>
      <c r="C375" s="9"/>
      <c r="D375" s="34"/>
      <c r="E375" s="9"/>
      <c r="F375" s="35"/>
      <c r="G375" s="35"/>
      <c r="H375" s="35"/>
      <c r="I375" s="34"/>
      <c r="J375" s="35"/>
      <c r="K375" s="35"/>
      <c r="L375" s="39" t="str">
        <f aca="false">IF(A375="","",IF(I375&lt;&gt;"","Vendu","En stock"))</f>
        <v/>
      </c>
      <c r="M375" s="17" t="str">
        <f aca="false">IF(J375="","",J375-F375-G375-K375)</f>
        <v/>
      </c>
      <c r="N375" s="40" t="str">
        <f aca="false">IF(OR(J375="",J375=0),"",M375/J375)</f>
        <v/>
      </c>
      <c r="O375" s="41" t="str">
        <f aca="true">IF(D375="","",IF(I375&lt;&gt;"",I375,TODAY())-D375)</f>
        <v/>
      </c>
    </row>
    <row r="376" customFormat="false" ht="15" hidden="false" customHeight="false" outlineLevel="0" collapsed="false">
      <c r="A376" s="9"/>
      <c r="B376" s="9"/>
      <c r="C376" s="9"/>
      <c r="D376" s="34"/>
      <c r="E376" s="9"/>
      <c r="F376" s="35"/>
      <c r="G376" s="35"/>
      <c r="H376" s="35"/>
      <c r="I376" s="34"/>
      <c r="J376" s="35"/>
      <c r="K376" s="35"/>
      <c r="L376" s="39" t="str">
        <f aca="false">IF(A376="","",IF(I376&lt;&gt;"","Vendu","En stock"))</f>
        <v/>
      </c>
      <c r="M376" s="17" t="str">
        <f aca="false">IF(J376="","",J376-F376-G376-K376)</f>
        <v/>
      </c>
      <c r="N376" s="40" t="str">
        <f aca="false">IF(OR(J376="",J376=0),"",M376/J376)</f>
        <v/>
      </c>
      <c r="O376" s="41" t="str">
        <f aca="true">IF(D376="","",IF(I376&lt;&gt;"",I376,TODAY())-D376)</f>
        <v/>
      </c>
    </row>
    <row r="377" customFormat="false" ht="15" hidden="false" customHeight="false" outlineLevel="0" collapsed="false">
      <c r="A377" s="9"/>
      <c r="B377" s="9"/>
      <c r="C377" s="9"/>
      <c r="D377" s="34"/>
      <c r="E377" s="9"/>
      <c r="F377" s="35"/>
      <c r="G377" s="35"/>
      <c r="H377" s="35"/>
      <c r="I377" s="34"/>
      <c r="J377" s="35"/>
      <c r="K377" s="35"/>
      <c r="L377" s="39" t="str">
        <f aca="false">IF(A377="","",IF(I377&lt;&gt;"","Vendu","En stock"))</f>
        <v/>
      </c>
      <c r="M377" s="17" t="str">
        <f aca="false">IF(J377="","",J377-F377-G377-K377)</f>
        <v/>
      </c>
      <c r="N377" s="40" t="str">
        <f aca="false">IF(OR(J377="",J377=0),"",M377/J377)</f>
        <v/>
      </c>
      <c r="O377" s="41" t="str">
        <f aca="true">IF(D377="","",IF(I377&lt;&gt;"",I377,TODAY())-D377)</f>
        <v/>
      </c>
    </row>
    <row r="378" customFormat="false" ht="15" hidden="false" customHeight="false" outlineLevel="0" collapsed="false">
      <c r="A378" s="9"/>
      <c r="B378" s="9"/>
      <c r="C378" s="9"/>
      <c r="D378" s="34"/>
      <c r="E378" s="9"/>
      <c r="F378" s="35"/>
      <c r="G378" s="35"/>
      <c r="H378" s="35"/>
      <c r="I378" s="34"/>
      <c r="J378" s="35"/>
      <c r="K378" s="35"/>
      <c r="L378" s="39" t="str">
        <f aca="false">IF(A378="","",IF(I378&lt;&gt;"","Vendu","En stock"))</f>
        <v/>
      </c>
      <c r="M378" s="17" t="str">
        <f aca="false">IF(J378="","",J378-F378-G378-K378)</f>
        <v/>
      </c>
      <c r="N378" s="40" t="str">
        <f aca="false">IF(OR(J378="",J378=0),"",M378/J378)</f>
        <v/>
      </c>
      <c r="O378" s="41" t="str">
        <f aca="true">IF(D378="","",IF(I378&lt;&gt;"",I378,TODAY())-D378)</f>
        <v/>
      </c>
    </row>
    <row r="379" customFormat="false" ht="15" hidden="false" customHeight="false" outlineLevel="0" collapsed="false">
      <c r="A379" s="9"/>
      <c r="B379" s="9"/>
      <c r="C379" s="9"/>
      <c r="D379" s="34"/>
      <c r="E379" s="9"/>
      <c r="F379" s="35"/>
      <c r="G379" s="35"/>
      <c r="H379" s="35"/>
      <c r="I379" s="34"/>
      <c r="J379" s="35"/>
      <c r="K379" s="35"/>
      <c r="L379" s="39" t="str">
        <f aca="false">IF(A379="","",IF(I379&lt;&gt;"","Vendu","En stock"))</f>
        <v/>
      </c>
      <c r="M379" s="17" t="str">
        <f aca="false">IF(J379="","",J379-F379-G379-K379)</f>
        <v/>
      </c>
      <c r="N379" s="40" t="str">
        <f aca="false">IF(OR(J379="",J379=0),"",M379/J379)</f>
        <v/>
      </c>
      <c r="O379" s="41" t="str">
        <f aca="true">IF(D379="","",IF(I379&lt;&gt;"",I379,TODAY())-D379)</f>
        <v/>
      </c>
    </row>
    <row r="380" customFormat="false" ht="15" hidden="false" customHeight="false" outlineLevel="0" collapsed="false">
      <c r="A380" s="9"/>
      <c r="B380" s="9"/>
      <c r="C380" s="9"/>
      <c r="D380" s="34"/>
      <c r="E380" s="9"/>
      <c r="F380" s="35"/>
      <c r="G380" s="35"/>
      <c r="H380" s="35"/>
      <c r="I380" s="34"/>
      <c r="J380" s="35"/>
      <c r="K380" s="35"/>
      <c r="L380" s="39" t="str">
        <f aca="false">IF(A380="","",IF(I380&lt;&gt;"","Vendu","En stock"))</f>
        <v/>
      </c>
      <c r="M380" s="17" t="str">
        <f aca="false">IF(J380="","",J380-F380-G380-K380)</f>
        <v/>
      </c>
      <c r="N380" s="40" t="str">
        <f aca="false">IF(OR(J380="",J380=0),"",M380/J380)</f>
        <v/>
      </c>
      <c r="O380" s="41" t="str">
        <f aca="true">IF(D380="","",IF(I380&lt;&gt;"",I380,TODAY())-D380)</f>
        <v/>
      </c>
    </row>
    <row r="381" customFormat="false" ht="15" hidden="false" customHeight="false" outlineLevel="0" collapsed="false">
      <c r="A381" s="9"/>
      <c r="B381" s="9"/>
      <c r="C381" s="9"/>
      <c r="D381" s="34"/>
      <c r="E381" s="9"/>
      <c r="F381" s="35"/>
      <c r="G381" s="35"/>
      <c r="H381" s="35"/>
      <c r="I381" s="34"/>
      <c r="J381" s="35"/>
      <c r="K381" s="35"/>
      <c r="L381" s="39" t="str">
        <f aca="false">IF(A381="","",IF(I381&lt;&gt;"","Vendu","En stock"))</f>
        <v/>
      </c>
      <c r="M381" s="17" t="str">
        <f aca="false">IF(J381="","",J381-F381-G381-K381)</f>
        <v/>
      </c>
      <c r="N381" s="40" t="str">
        <f aca="false">IF(OR(J381="",J381=0),"",M381/J381)</f>
        <v/>
      </c>
      <c r="O381" s="41" t="str">
        <f aca="true">IF(D381="","",IF(I381&lt;&gt;"",I381,TODAY())-D381)</f>
        <v/>
      </c>
    </row>
    <row r="382" customFormat="false" ht="15" hidden="false" customHeight="false" outlineLevel="0" collapsed="false">
      <c r="A382" s="9"/>
      <c r="B382" s="9"/>
      <c r="C382" s="9"/>
      <c r="D382" s="34"/>
      <c r="E382" s="9"/>
      <c r="F382" s="35"/>
      <c r="G382" s="35"/>
      <c r="H382" s="35"/>
      <c r="I382" s="34"/>
      <c r="J382" s="35"/>
      <c r="K382" s="35"/>
      <c r="L382" s="39" t="str">
        <f aca="false">IF(A382="","",IF(I382&lt;&gt;"","Vendu","En stock"))</f>
        <v/>
      </c>
      <c r="M382" s="17" t="str">
        <f aca="false">IF(J382="","",J382-F382-G382-K382)</f>
        <v/>
      </c>
      <c r="N382" s="40" t="str">
        <f aca="false">IF(OR(J382="",J382=0),"",M382/J382)</f>
        <v/>
      </c>
      <c r="O382" s="41" t="str">
        <f aca="true">IF(D382="","",IF(I382&lt;&gt;"",I382,TODAY())-D382)</f>
        <v/>
      </c>
    </row>
    <row r="383" customFormat="false" ht="15" hidden="false" customHeight="false" outlineLevel="0" collapsed="false">
      <c r="A383" s="9"/>
      <c r="B383" s="9"/>
      <c r="C383" s="9"/>
      <c r="D383" s="34"/>
      <c r="E383" s="9"/>
      <c r="F383" s="35"/>
      <c r="G383" s="35"/>
      <c r="H383" s="35"/>
      <c r="I383" s="34"/>
      <c r="J383" s="35"/>
      <c r="K383" s="35"/>
      <c r="L383" s="39" t="str">
        <f aca="false">IF(A383="","",IF(I383&lt;&gt;"","Vendu","En stock"))</f>
        <v/>
      </c>
      <c r="M383" s="17" t="str">
        <f aca="false">IF(J383="","",J383-F383-G383-K383)</f>
        <v/>
      </c>
      <c r="N383" s="40" t="str">
        <f aca="false">IF(OR(J383="",J383=0),"",M383/J383)</f>
        <v/>
      </c>
      <c r="O383" s="41" t="str">
        <f aca="true">IF(D383="","",IF(I383&lt;&gt;"",I383,TODAY())-D383)</f>
        <v/>
      </c>
    </row>
    <row r="384" customFormat="false" ht="15" hidden="false" customHeight="false" outlineLevel="0" collapsed="false">
      <c r="A384" s="9"/>
      <c r="B384" s="9"/>
      <c r="C384" s="9"/>
      <c r="D384" s="34"/>
      <c r="E384" s="9"/>
      <c r="F384" s="35"/>
      <c r="G384" s="35"/>
      <c r="H384" s="35"/>
      <c r="I384" s="34"/>
      <c r="J384" s="35"/>
      <c r="K384" s="35"/>
      <c r="L384" s="39" t="str">
        <f aca="false">IF(A384="","",IF(I384&lt;&gt;"","Vendu","En stock"))</f>
        <v/>
      </c>
      <c r="M384" s="17" t="str">
        <f aca="false">IF(J384="","",J384-F384-G384-K384)</f>
        <v/>
      </c>
      <c r="N384" s="40" t="str">
        <f aca="false">IF(OR(J384="",J384=0),"",M384/J384)</f>
        <v/>
      </c>
      <c r="O384" s="41" t="str">
        <f aca="true">IF(D384="","",IF(I384&lt;&gt;"",I384,TODAY())-D384)</f>
        <v/>
      </c>
    </row>
    <row r="385" customFormat="false" ht="15" hidden="false" customHeight="false" outlineLevel="0" collapsed="false">
      <c r="A385" s="9"/>
      <c r="B385" s="9"/>
      <c r="C385" s="9"/>
      <c r="D385" s="34"/>
      <c r="E385" s="9"/>
      <c r="F385" s="35"/>
      <c r="G385" s="35"/>
      <c r="H385" s="35"/>
      <c r="I385" s="34"/>
      <c r="J385" s="35"/>
      <c r="K385" s="35"/>
      <c r="L385" s="39" t="str">
        <f aca="false">IF(A385="","",IF(I385&lt;&gt;"","Vendu","En stock"))</f>
        <v/>
      </c>
      <c r="M385" s="17" t="str">
        <f aca="false">IF(J385="","",J385-F385-G385-K385)</f>
        <v/>
      </c>
      <c r="N385" s="40" t="str">
        <f aca="false">IF(OR(J385="",J385=0),"",M385/J385)</f>
        <v/>
      </c>
      <c r="O385" s="41" t="str">
        <f aca="true">IF(D385="","",IF(I385&lt;&gt;"",I385,TODAY())-D385)</f>
        <v/>
      </c>
    </row>
    <row r="386" customFormat="false" ht="15" hidden="false" customHeight="false" outlineLevel="0" collapsed="false">
      <c r="A386" s="9"/>
      <c r="B386" s="9"/>
      <c r="C386" s="9"/>
      <c r="D386" s="34"/>
      <c r="E386" s="9"/>
      <c r="F386" s="35"/>
      <c r="G386" s="35"/>
      <c r="H386" s="35"/>
      <c r="I386" s="34"/>
      <c r="J386" s="35"/>
      <c r="K386" s="35"/>
      <c r="L386" s="39" t="str">
        <f aca="false">IF(A386="","",IF(I386&lt;&gt;"","Vendu","En stock"))</f>
        <v/>
      </c>
      <c r="M386" s="17" t="str">
        <f aca="false">IF(J386="","",J386-F386-G386-K386)</f>
        <v/>
      </c>
      <c r="N386" s="40" t="str">
        <f aca="false">IF(OR(J386="",J386=0),"",M386/J386)</f>
        <v/>
      </c>
      <c r="O386" s="41" t="str">
        <f aca="true">IF(D386="","",IF(I386&lt;&gt;"",I386,TODAY())-D386)</f>
        <v/>
      </c>
    </row>
    <row r="387" customFormat="false" ht="15" hidden="false" customHeight="false" outlineLevel="0" collapsed="false">
      <c r="A387" s="9"/>
      <c r="B387" s="9"/>
      <c r="C387" s="9"/>
      <c r="D387" s="34"/>
      <c r="E387" s="9"/>
      <c r="F387" s="35"/>
      <c r="G387" s="35"/>
      <c r="H387" s="35"/>
      <c r="I387" s="34"/>
      <c r="J387" s="35"/>
      <c r="K387" s="35"/>
      <c r="L387" s="39" t="str">
        <f aca="false">IF(A387="","",IF(I387&lt;&gt;"","Vendu","En stock"))</f>
        <v/>
      </c>
      <c r="M387" s="17" t="str">
        <f aca="false">IF(J387="","",J387-F387-G387-K387)</f>
        <v/>
      </c>
      <c r="N387" s="40" t="str">
        <f aca="false">IF(OR(J387="",J387=0),"",M387/J387)</f>
        <v/>
      </c>
      <c r="O387" s="41" t="str">
        <f aca="true">IF(D387="","",IF(I387&lt;&gt;"",I387,TODAY())-D387)</f>
        <v/>
      </c>
    </row>
    <row r="388" customFormat="false" ht="15" hidden="false" customHeight="false" outlineLevel="0" collapsed="false">
      <c r="A388" s="9"/>
      <c r="B388" s="9"/>
      <c r="C388" s="9"/>
      <c r="D388" s="34"/>
      <c r="E388" s="9"/>
      <c r="F388" s="35"/>
      <c r="G388" s="35"/>
      <c r="H388" s="35"/>
      <c r="I388" s="34"/>
      <c r="J388" s="35"/>
      <c r="K388" s="35"/>
      <c r="L388" s="39" t="str">
        <f aca="false">IF(A388="","",IF(I388&lt;&gt;"","Vendu","En stock"))</f>
        <v/>
      </c>
      <c r="M388" s="17" t="str">
        <f aca="false">IF(J388="","",J388-F388-G388-K388)</f>
        <v/>
      </c>
      <c r="N388" s="40" t="str">
        <f aca="false">IF(OR(J388="",J388=0),"",M388/J388)</f>
        <v/>
      </c>
      <c r="O388" s="41" t="str">
        <f aca="true">IF(D388="","",IF(I388&lt;&gt;"",I388,TODAY())-D388)</f>
        <v/>
      </c>
    </row>
    <row r="389" customFormat="false" ht="15" hidden="false" customHeight="false" outlineLevel="0" collapsed="false">
      <c r="A389" s="9"/>
      <c r="B389" s="9"/>
      <c r="C389" s="9"/>
      <c r="D389" s="34"/>
      <c r="E389" s="9"/>
      <c r="F389" s="35"/>
      <c r="G389" s="35"/>
      <c r="H389" s="35"/>
      <c r="I389" s="34"/>
      <c r="J389" s="35"/>
      <c r="K389" s="35"/>
      <c r="L389" s="39" t="str">
        <f aca="false">IF(A389="","",IF(I389&lt;&gt;"","Vendu","En stock"))</f>
        <v/>
      </c>
      <c r="M389" s="17" t="str">
        <f aca="false">IF(J389="","",J389-F389-G389-K389)</f>
        <v/>
      </c>
      <c r="N389" s="40" t="str">
        <f aca="false">IF(OR(J389="",J389=0),"",M389/J389)</f>
        <v/>
      </c>
      <c r="O389" s="41" t="str">
        <f aca="true">IF(D389="","",IF(I389&lt;&gt;"",I389,TODAY())-D389)</f>
        <v/>
      </c>
    </row>
    <row r="390" customFormat="false" ht="15" hidden="false" customHeight="false" outlineLevel="0" collapsed="false">
      <c r="A390" s="9"/>
      <c r="B390" s="9"/>
      <c r="C390" s="9"/>
      <c r="D390" s="34"/>
      <c r="E390" s="9"/>
      <c r="F390" s="35"/>
      <c r="G390" s="35"/>
      <c r="H390" s="35"/>
      <c r="I390" s="34"/>
      <c r="J390" s="35"/>
      <c r="K390" s="35"/>
      <c r="L390" s="39" t="str">
        <f aca="false">IF(A390="","",IF(I390&lt;&gt;"","Vendu","En stock"))</f>
        <v/>
      </c>
      <c r="M390" s="17" t="str">
        <f aca="false">IF(J390="","",J390-F390-G390-K390)</f>
        <v/>
      </c>
      <c r="N390" s="40" t="str">
        <f aca="false">IF(OR(J390="",J390=0),"",M390/J390)</f>
        <v/>
      </c>
      <c r="O390" s="41" t="str">
        <f aca="true">IF(D390="","",IF(I390&lt;&gt;"",I390,TODAY())-D390)</f>
        <v/>
      </c>
    </row>
    <row r="391" customFormat="false" ht="15" hidden="false" customHeight="false" outlineLevel="0" collapsed="false">
      <c r="A391" s="9"/>
      <c r="B391" s="9"/>
      <c r="C391" s="9"/>
      <c r="D391" s="34"/>
      <c r="E391" s="9"/>
      <c r="F391" s="35"/>
      <c r="G391" s="35"/>
      <c r="H391" s="35"/>
      <c r="I391" s="34"/>
      <c r="J391" s="35"/>
      <c r="K391" s="35"/>
      <c r="L391" s="39" t="str">
        <f aca="false">IF(A391="","",IF(I391&lt;&gt;"","Vendu","En stock"))</f>
        <v/>
      </c>
      <c r="M391" s="17" t="str">
        <f aca="false">IF(J391="","",J391-F391-G391-K391)</f>
        <v/>
      </c>
      <c r="N391" s="40" t="str">
        <f aca="false">IF(OR(J391="",J391=0),"",M391/J391)</f>
        <v/>
      </c>
      <c r="O391" s="41" t="str">
        <f aca="true">IF(D391="","",IF(I391&lt;&gt;"",I391,TODAY())-D391)</f>
        <v/>
      </c>
    </row>
    <row r="392" customFormat="false" ht="15" hidden="false" customHeight="false" outlineLevel="0" collapsed="false">
      <c r="A392" s="9"/>
      <c r="B392" s="9"/>
      <c r="C392" s="9"/>
      <c r="D392" s="34"/>
      <c r="E392" s="9"/>
      <c r="F392" s="35"/>
      <c r="G392" s="35"/>
      <c r="H392" s="35"/>
      <c r="I392" s="34"/>
      <c r="J392" s="35"/>
      <c r="K392" s="35"/>
      <c r="L392" s="39" t="str">
        <f aca="false">IF(A392="","",IF(I392&lt;&gt;"","Vendu","En stock"))</f>
        <v/>
      </c>
      <c r="M392" s="17" t="str">
        <f aca="false">IF(J392="","",J392-F392-G392-K392)</f>
        <v/>
      </c>
      <c r="N392" s="40" t="str">
        <f aca="false">IF(OR(J392="",J392=0),"",M392/J392)</f>
        <v/>
      </c>
      <c r="O392" s="41" t="str">
        <f aca="true">IF(D392="","",IF(I392&lt;&gt;"",I392,TODAY())-D392)</f>
        <v/>
      </c>
    </row>
    <row r="393" customFormat="false" ht="15" hidden="false" customHeight="false" outlineLevel="0" collapsed="false">
      <c r="A393" s="9"/>
      <c r="B393" s="9"/>
      <c r="C393" s="9"/>
      <c r="D393" s="34"/>
      <c r="E393" s="9"/>
      <c r="F393" s="35"/>
      <c r="G393" s="35"/>
      <c r="H393" s="35"/>
      <c r="I393" s="34"/>
      <c r="J393" s="35"/>
      <c r="K393" s="35"/>
      <c r="L393" s="39" t="str">
        <f aca="false">IF(A393="","",IF(I393&lt;&gt;"","Vendu","En stock"))</f>
        <v/>
      </c>
      <c r="M393" s="17" t="str">
        <f aca="false">IF(J393="","",J393-F393-G393-K393)</f>
        <v/>
      </c>
      <c r="N393" s="40" t="str">
        <f aca="false">IF(OR(J393="",J393=0),"",M393/J393)</f>
        <v/>
      </c>
      <c r="O393" s="41" t="str">
        <f aca="true">IF(D393="","",IF(I393&lt;&gt;"",I393,TODAY())-D393)</f>
        <v/>
      </c>
    </row>
    <row r="394" customFormat="false" ht="15" hidden="false" customHeight="false" outlineLevel="0" collapsed="false">
      <c r="A394" s="9"/>
      <c r="B394" s="9"/>
      <c r="C394" s="9"/>
      <c r="D394" s="34"/>
      <c r="E394" s="9"/>
      <c r="F394" s="35"/>
      <c r="G394" s="35"/>
      <c r="H394" s="35"/>
      <c r="I394" s="34"/>
      <c r="J394" s="35"/>
      <c r="K394" s="35"/>
      <c r="L394" s="39" t="str">
        <f aca="false">IF(A394="","",IF(I394&lt;&gt;"","Vendu","En stock"))</f>
        <v/>
      </c>
      <c r="M394" s="17" t="str">
        <f aca="false">IF(J394="","",J394-F394-G394-K394)</f>
        <v/>
      </c>
      <c r="N394" s="40" t="str">
        <f aca="false">IF(OR(J394="",J394=0),"",M394/J394)</f>
        <v/>
      </c>
      <c r="O394" s="41" t="str">
        <f aca="true">IF(D394="","",IF(I394&lt;&gt;"",I394,TODAY())-D394)</f>
        <v/>
      </c>
    </row>
    <row r="395" customFormat="false" ht="15" hidden="false" customHeight="false" outlineLevel="0" collapsed="false">
      <c r="A395" s="9"/>
      <c r="B395" s="9"/>
      <c r="C395" s="9"/>
      <c r="D395" s="34"/>
      <c r="E395" s="9"/>
      <c r="F395" s="35"/>
      <c r="G395" s="35"/>
      <c r="H395" s="35"/>
      <c r="I395" s="34"/>
      <c r="J395" s="35"/>
      <c r="K395" s="35"/>
      <c r="L395" s="39" t="str">
        <f aca="false">IF(A395="","",IF(I395&lt;&gt;"","Vendu","En stock"))</f>
        <v/>
      </c>
      <c r="M395" s="17" t="str">
        <f aca="false">IF(J395="","",J395-F395-G395-K395)</f>
        <v/>
      </c>
      <c r="N395" s="40" t="str">
        <f aca="false">IF(OR(J395="",J395=0),"",M395/J395)</f>
        <v/>
      </c>
      <c r="O395" s="41" t="str">
        <f aca="true">IF(D395="","",IF(I395&lt;&gt;"",I395,TODAY())-D395)</f>
        <v/>
      </c>
    </row>
    <row r="396" customFormat="false" ht="15" hidden="false" customHeight="false" outlineLevel="0" collapsed="false">
      <c r="A396" s="9"/>
      <c r="B396" s="9"/>
      <c r="C396" s="9"/>
      <c r="D396" s="34"/>
      <c r="E396" s="9"/>
      <c r="F396" s="35"/>
      <c r="G396" s="35"/>
      <c r="H396" s="35"/>
      <c r="I396" s="34"/>
      <c r="J396" s="35"/>
      <c r="K396" s="35"/>
      <c r="L396" s="39" t="str">
        <f aca="false">IF(A396="","",IF(I396&lt;&gt;"","Vendu","En stock"))</f>
        <v/>
      </c>
      <c r="M396" s="17" t="str">
        <f aca="false">IF(J396="","",J396-F396-G396-K396)</f>
        <v/>
      </c>
      <c r="N396" s="40" t="str">
        <f aca="false">IF(OR(J396="",J396=0),"",M396/J396)</f>
        <v/>
      </c>
      <c r="O396" s="41" t="str">
        <f aca="true">IF(D396="","",IF(I396&lt;&gt;"",I396,TODAY())-D396)</f>
        <v/>
      </c>
    </row>
    <row r="397" customFormat="false" ht="15" hidden="false" customHeight="false" outlineLevel="0" collapsed="false">
      <c r="A397" s="9"/>
      <c r="B397" s="9"/>
      <c r="C397" s="9"/>
      <c r="D397" s="34"/>
      <c r="E397" s="9"/>
      <c r="F397" s="35"/>
      <c r="G397" s="35"/>
      <c r="H397" s="35"/>
      <c r="I397" s="34"/>
      <c r="J397" s="35"/>
      <c r="K397" s="35"/>
      <c r="L397" s="39" t="str">
        <f aca="false">IF(A397="","",IF(I397&lt;&gt;"","Vendu","En stock"))</f>
        <v/>
      </c>
      <c r="M397" s="17" t="str">
        <f aca="false">IF(J397="","",J397-F397-G397-K397)</f>
        <v/>
      </c>
      <c r="N397" s="40" t="str">
        <f aca="false">IF(OR(J397="",J397=0),"",M397/J397)</f>
        <v/>
      </c>
      <c r="O397" s="41" t="str">
        <f aca="true">IF(D397="","",IF(I397&lt;&gt;"",I397,TODAY())-D397)</f>
        <v/>
      </c>
    </row>
    <row r="398" customFormat="false" ht="15" hidden="false" customHeight="false" outlineLevel="0" collapsed="false">
      <c r="A398" s="9"/>
      <c r="B398" s="9"/>
      <c r="C398" s="9"/>
      <c r="D398" s="34"/>
      <c r="E398" s="9"/>
      <c r="F398" s="35"/>
      <c r="G398" s="35"/>
      <c r="H398" s="35"/>
      <c r="I398" s="34"/>
      <c r="J398" s="35"/>
      <c r="K398" s="35"/>
      <c r="L398" s="39" t="str">
        <f aca="false">IF(A398="","",IF(I398&lt;&gt;"","Vendu","En stock"))</f>
        <v/>
      </c>
      <c r="M398" s="17" t="str">
        <f aca="false">IF(J398="","",J398-F398-G398-K398)</f>
        <v/>
      </c>
      <c r="N398" s="40" t="str">
        <f aca="false">IF(OR(J398="",J398=0),"",M398/J398)</f>
        <v/>
      </c>
      <c r="O398" s="41" t="str">
        <f aca="true">IF(D398="","",IF(I398&lt;&gt;"",I398,TODAY())-D398)</f>
        <v/>
      </c>
    </row>
    <row r="399" customFormat="false" ht="15" hidden="false" customHeight="false" outlineLevel="0" collapsed="false">
      <c r="A399" s="9"/>
      <c r="B399" s="9"/>
      <c r="C399" s="9"/>
      <c r="D399" s="34"/>
      <c r="E399" s="9"/>
      <c r="F399" s="35"/>
      <c r="G399" s="35"/>
      <c r="H399" s="35"/>
      <c r="I399" s="34"/>
      <c r="J399" s="35"/>
      <c r="K399" s="35"/>
      <c r="L399" s="39" t="str">
        <f aca="false">IF(A399="","",IF(I399&lt;&gt;"","Vendu","En stock"))</f>
        <v/>
      </c>
      <c r="M399" s="17" t="str">
        <f aca="false">IF(J399="","",J399-F399-G399-K399)</f>
        <v/>
      </c>
      <c r="N399" s="40" t="str">
        <f aca="false">IF(OR(J399="",J399=0),"",M399/J399)</f>
        <v/>
      </c>
      <c r="O399" s="41" t="str">
        <f aca="true">IF(D399="","",IF(I399&lt;&gt;"",I399,TODAY())-D399)</f>
        <v/>
      </c>
    </row>
    <row r="400" customFormat="false" ht="15" hidden="false" customHeight="false" outlineLevel="0" collapsed="false">
      <c r="A400" s="9"/>
      <c r="B400" s="9"/>
      <c r="C400" s="9"/>
      <c r="D400" s="34"/>
      <c r="E400" s="9"/>
      <c r="F400" s="35"/>
      <c r="G400" s="35"/>
      <c r="H400" s="35"/>
      <c r="I400" s="34"/>
      <c r="J400" s="35"/>
      <c r="K400" s="35"/>
      <c r="L400" s="39" t="str">
        <f aca="false">IF(A400="","",IF(I400&lt;&gt;"","Vendu","En stock"))</f>
        <v/>
      </c>
      <c r="M400" s="17" t="str">
        <f aca="false">IF(J400="","",J400-F400-G400-K400)</f>
        <v/>
      </c>
      <c r="N400" s="40" t="str">
        <f aca="false">IF(OR(J400="",J400=0),"",M400/J400)</f>
        <v/>
      </c>
      <c r="O400" s="41" t="str">
        <f aca="true">IF(D400="","",IF(I400&lt;&gt;"",I400,TODAY())-D400)</f>
        <v/>
      </c>
    </row>
    <row r="401" customFormat="false" ht="15" hidden="false" customHeight="false" outlineLevel="0" collapsed="false">
      <c r="A401" s="9"/>
      <c r="B401" s="9"/>
      <c r="C401" s="9"/>
      <c r="D401" s="34"/>
      <c r="E401" s="9"/>
      <c r="F401" s="35"/>
      <c r="G401" s="35"/>
      <c r="H401" s="35"/>
      <c r="I401" s="34"/>
      <c r="J401" s="35"/>
      <c r="K401" s="35"/>
      <c r="L401" s="39" t="str">
        <f aca="false">IF(A401="","",IF(I401&lt;&gt;"","Vendu","En stock"))</f>
        <v/>
      </c>
      <c r="M401" s="17" t="str">
        <f aca="false">IF(J401="","",J401-F401-G401-K401)</f>
        <v/>
      </c>
      <c r="N401" s="40" t="str">
        <f aca="false">IF(OR(J401="",J401=0),"",M401/J401)</f>
        <v/>
      </c>
      <c r="O401" s="41" t="str">
        <f aca="true">IF(D401="","",IF(I401&lt;&gt;"",I401,TODAY())-D401)</f>
        <v/>
      </c>
    </row>
    <row r="402" customFormat="false" ht="15" hidden="false" customHeight="false" outlineLevel="0" collapsed="false">
      <c r="A402" s="9"/>
      <c r="B402" s="9"/>
      <c r="C402" s="9"/>
      <c r="D402" s="34"/>
      <c r="E402" s="9"/>
      <c r="F402" s="35"/>
      <c r="G402" s="35"/>
      <c r="H402" s="35"/>
      <c r="I402" s="34"/>
      <c r="J402" s="35"/>
      <c r="K402" s="35"/>
      <c r="L402" s="39" t="str">
        <f aca="false">IF(A402="","",IF(I402&lt;&gt;"","Vendu","En stock"))</f>
        <v/>
      </c>
      <c r="M402" s="17" t="str">
        <f aca="false">IF(J402="","",J402-F402-G402-K402)</f>
        <v/>
      </c>
      <c r="N402" s="40" t="str">
        <f aca="false">IF(OR(J402="",J402=0),"",M402/J402)</f>
        <v/>
      </c>
      <c r="O402" s="41" t="str">
        <f aca="true">IF(D402="","",IF(I402&lt;&gt;"",I402,TODAY())-D402)</f>
        <v/>
      </c>
    </row>
    <row r="403" customFormat="false" ht="15" hidden="false" customHeight="false" outlineLevel="0" collapsed="false">
      <c r="A403" s="9"/>
      <c r="B403" s="9"/>
      <c r="C403" s="9"/>
      <c r="D403" s="34"/>
      <c r="E403" s="9"/>
      <c r="F403" s="35"/>
      <c r="G403" s="35"/>
      <c r="H403" s="35"/>
      <c r="I403" s="34"/>
      <c r="J403" s="35"/>
      <c r="K403" s="35"/>
      <c r="L403" s="39" t="str">
        <f aca="false">IF(A403="","",IF(I403&lt;&gt;"","Vendu","En stock"))</f>
        <v/>
      </c>
      <c r="M403" s="17" t="str">
        <f aca="false">IF(J403="","",J403-F403-G403-K403)</f>
        <v/>
      </c>
      <c r="N403" s="40" t="str">
        <f aca="false">IF(OR(J403="",J403=0),"",M403/J403)</f>
        <v/>
      </c>
      <c r="O403" s="41" t="str">
        <f aca="true">IF(D403="","",IF(I403&lt;&gt;"",I403,TODAY())-D403)</f>
        <v/>
      </c>
    </row>
    <row r="404" customFormat="false" ht="15" hidden="false" customHeight="false" outlineLevel="0" collapsed="false">
      <c r="A404" s="9"/>
      <c r="B404" s="9"/>
      <c r="C404" s="9"/>
      <c r="D404" s="34"/>
      <c r="E404" s="9"/>
      <c r="F404" s="35"/>
      <c r="G404" s="35"/>
      <c r="H404" s="35"/>
      <c r="I404" s="34"/>
      <c r="J404" s="35"/>
      <c r="K404" s="35"/>
      <c r="L404" s="39" t="str">
        <f aca="false">IF(A404="","",IF(I404&lt;&gt;"","Vendu","En stock"))</f>
        <v/>
      </c>
      <c r="M404" s="17" t="str">
        <f aca="false">IF(J404="","",J404-F404-G404-K404)</f>
        <v/>
      </c>
      <c r="N404" s="40" t="str">
        <f aca="false">IF(OR(J404="",J404=0),"",M404/J404)</f>
        <v/>
      </c>
      <c r="O404" s="41" t="str">
        <f aca="true">IF(D404="","",IF(I404&lt;&gt;"",I404,TODAY())-D404)</f>
        <v/>
      </c>
    </row>
    <row r="405" customFormat="false" ht="15" hidden="false" customHeight="false" outlineLevel="0" collapsed="false">
      <c r="A405" s="9"/>
      <c r="B405" s="9"/>
      <c r="C405" s="9"/>
      <c r="D405" s="34"/>
      <c r="E405" s="9"/>
      <c r="F405" s="35"/>
      <c r="G405" s="35"/>
      <c r="H405" s="35"/>
      <c r="I405" s="34"/>
      <c r="J405" s="35"/>
      <c r="K405" s="35"/>
      <c r="L405" s="39" t="str">
        <f aca="false">IF(A405="","",IF(I405&lt;&gt;"","Vendu","En stock"))</f>
        <v/>
      </c>
      <c r="M405" s="17" t="str">
        <f aca="false">IF(J405="","",J405-F405-G405-K405)</f>
        <v/>
      </c>
      <c r="N405" s="40" t="str">
        <f aca="false">IF(OR(J405="",J405=0),"",M405/J405)</f>
        <v/>
      </c>
      <c r="O405" s="41" t="str">
        <f aca="true">IF(D405="","",IF(I405&lt;&gt;"",I405,TODAY())-D405)</f>
        <v/>
      </c>
    </row>
    <row r="406" customFormat="false" ht="15" hidden="false" customHeight="false" outlineLevel="0" collapsed="false">
      <c r="A406" s="9"/>
      <c r="B406" s="9"/>
      <c r="C406" s="9"/>
      <c r="D406" s="34"/>
      <c r="E406" s="9"/>
      <c r="F406" s="35"/>
      <c r="G406" s="35"/>
      <c r="H406" s="35"/>
      <c r="I406" s="34"/>
      <c r="J406" s="35"/>
      <c r="K406" s="35"/>
      <c r="L406" s="39" t="str">
        <f aca="false">IF(A406="","",IF(I406&lt;&gt;"","Vendu","En stock"))</f>
        <v/>
      </c>
      <c r="M406" s="17" t="str">
        <f aca="false">IF(J406="","",J406-F406-G406-K406)</f>
        <v/>
      </c>
      <c r="N406" s="40" t="str">
        <f aca="false">IF(OR(J406="",J406=0),"",M406/J406)</f>
        <v/>
      </c>
      <c r="O406" s="41" t="str">
        <f aca="true">IF(D406="","",IF(I406&lt;&gt;"",I406,TODAY())-D406)</f>
        <v/>
      </c>
    </row>
    <row r="407" customFormat="false" ht="15" hidden="false" customHeight="false" outlineLevel="0" collapsed="false">
      <c r="A407" s="9"/>
      <c r="B407" s="9"/>
      <c r="C407" s="9"/>
      <c r="D407" s="34"/>
      <c r="E407" s="9"/>
      <c r="F407" s="35"/>
      <c r="G407" s="35"/>
      <c r="H407" s="35"/>
      <c r="I407" s="34"/>
      <c r="J407" s="35"/>
      <c r="K407" s="35"/>
      <c r="L407" s="39" t="str">
        <f aca="false">IF(A407="","",IF(I407&lt;&gt;"","Vendu","En stock"))</f>
        <v/>
      </c>
      <c r="M407" s="17" t="str">
        <f aca="false">IF(J407="","",J407-F407-G407-K407)</f>
        <v/>
      </c>
      <c r="N407" s="40" t="str">
        <f aca="false">IF(OR(J407="",J407=0),"",M407/J407)</f>
        <v/>
      </c>
      <c r="O407" s="41" t="str">
        <f aca="true">IF(D407="","",IF(I407&lt;&gt;"",I407,TODAY())-D407)</f>
        <v/>
      </c>
    </row>
    <row r="408" customFormat="false" ht="15" hidden="false" customHeight="false" outlineLevel="0" collapsed="false">
      <c r="A408" s="9"/>
      <c r="B408" s="9"/>
      <c r="C408" s="9"/>
      <c r="D408" s="34"/>
      <c r="E408" s="9"/>
      <c r="F408" s="35"/>
      <c r="G408" s="35"/>
      <c r="H408" s="35"/>
      <c r="I408" s="34"/>
      <c r="J408" s="35"/>
      <c r="K408" s="35"/>
      <c r="L408" s="39" t="str">
        <f aca="false">IF(A408="","",IF(I408&lt;&gt;"","Vendu","En stock"))</f>
        <v/>
      </c>
      <c r="M408" s="17" t="str">
        <f aca="false">IF(J408="","",J408-F408-G408-K408)</f>
        <v/>
      </c>
      <c r="N408" s="40" t="str">
        <f aca="false">IF(OR(J408="",J408=0),"",M408/J408)</f>
        <v/>
      </c>
      <c r="O408" s="41" t="str">
        <f aca="true">IF(D408="","",IF(I408&lt;&gt;"",I408,TODAY())-D408)</f>
        <v/>
      </c>
    </row>
    <row r="409" customFormat="false" ht="15" hidden="false" customHeight="false" outlineLevel="0" collapsed="false">
      <c r="A409" s="9"/>
      <c r="B409" s="9"/>
      <c r="C409" s="9"/>
      <c r="D409" s="34"/>
      <c r="E409" s="9"/>
      <c r="F409" s="35"/>
      <c r="G409" s="35"/>
      <c r="H409" s="35"/>
      <c r="I409" s="34"/>
      <c r="J409" s="35"/>
      <c r="K409" s="35"/>
      <c r="L409" s="39" t="str">
        <f aca="false">IF(A409="","",IF(I409&lt;&gt;"","Vendu","En stock"))</f>
        <v/>
      </c>
      <c r="M409" s="17" t="str">
        <f aca="false">IF(J409="","",J409-F409-G409-K409)</f>
        <v/>
      </c>
      <c r="N409" s="40" t="str">
        <f aca="false">IF(OR(J409="",J409=0),"",M409/J409)</f>
        <v/>
      </c>
      <c r="O409" s="41" t="str">
        <f aca="true">IF(D409="","",IF(I409&lt;&gt;"",I409,TODAY())-D409)</f>
        <v/>
      </c>
    </row>
    <row r="410" customFormat="false" ht="15" hidden="false" customHeight="false" outlineLevel="0" collapsed="false">
      <c r="A410" s="9"/>
      <c r="B410" s="9"/>
      <c r="C410" s="9"/>
      <c r="D410" s="34"/>
      <c r="E410" s="9"/>
      <c r="F410" s="35"/>
      <c r="G410" s="35"/>
      <c r="H410" s="35"/>
      <c r="I410" s="34"/>
      <c r="J410" s="35"/>
      <c r="K410" s="35"/>
      <c r="L410" s="39" t="str">
        <f aca="false">IF(A410="","",IF(I410&lt;&gt;"","Vendu","En stock"))</f>
        <v/>
      </c>
      <c r="M410" s="17" t="str">
        <f aca="false">IF(J410="","",J410-F410-G410-K410)</f>
        <v/>
      </c>
      <c r="N410" s="40" t="str">
        <f aca="false">IF(OR(J410="",J410=0),"",M410/J410)</f>
        <v/>
      </c>
      <c r="O410" s="41" t="str">
        <f aca="true">IF(D410="","",IF(I410&lt;&gt;"",I410,TODAY())-D410)</f>
        <v/>
      </c>
    </row>
    <row r="411" customFormat="false" ht="15" hidden="false" customHeight="false" outlineLevel="0" collapsed="false">
      <c r="A411" s="9"/>
      <c r="B411" s="9"/>
      <c r="C411" s="9"/>
      <c r="D411" s="34"/>
      <c r="E411" s="9"/>
      <c r="F411" s="35"/>
      <c r="G411" s="35"/>
      <c r="H411" s="35"/>
      <c r="I411" s="34"/>
      <c r="J411" s="35"/>
      <c r="K411" s="35"/>
      <c r="L411" s="39" t="str">
        <f aca="false">IF(A411="","",IF(I411&lt;&gt;"","Vendu","En stock"))</f>
        <v/>
      </c>
      <c r="M411" s="17" t="str">
        <f aca="false">IF(J411="","",J411-F411-G411-K411)</f>
        <v/>
      </c>
      <c r="N411" s="40" t="str">
        <f aca="false">IF(OR(J411="",J411=0),"",M411/J411)</f>
        <v/>
      </c>
      <c r="O411" s="41" t="str">
        <f aca="true">IF(D411="","",IF(I411&lt;&gt;"",I411,TODAY())-D411)</f>
        <v/>
      </c>
    </row>
    <row r="412" customFormat="false" ht="15" hidden="false" customHeight="false" outlineLevel="0" collapsed="false">
      <c r="A412" s="9"/>
      <c r="B412" s="9"/>
      <c r="C412" s="9"/>
      <c r="D412" s="34"/>
      <c r="E412" s="9"/>
      <c r="F412" s="35"/>
      <c r="G412" s="35"/>
      <c r="H412" s="35"/>
      <c r="I412" s="34"/>
      <c r="J412" s="35"/>
      <c r="K412" s="35"/>
      <c r="L412" s="39" t="str">
        <f aca="false">IF(A412="","",IF(I412&lt;&gt;"","Vendu","En stock"))</f>
        <v/>
      </c>
      <c r="M412" s="17" t="str">
        <f aca="false">IF(J412="","",J412-F412-G412-K412)</f>
        <v/>
      </c>
      <c r="N412" s="40" t="str">
        <f aca="false">IF(OR(J412="",J412=0),"",M412/J412)</f>
        <v/>
      </c>
      <c r="O412" s="41" t="str">
        <f aca="true">IF(D412="","",IF(I412&lt;&gt;"",I412,TODAY())-D412)</f>
        <v/>
      </c>
    </row>
    <row r="413" customFormat="false" ht="15" hidden="false" customHeight="false" outlineLevel="0" collapsed="false">
      <c r="A413" s="9"/>
      <c r="B413" s="9"/>
      <c r="C413" s="9"/>
      <c r="D413" s="34"/>
      <c r="E413" s="9"/>
      <c r="F413" s="35"/>
      <c r="G413" s="35"/>
      <c r="H413" s="35"/>
      <c r="I413" s="34"/>
      <c r="J413" s="35"/>
      <c r="K413" s="35"/>
      <c r="L413" s="39" t="str">
        <f aca="false">IF(A413="","",IF(I413&lt;&gt;"","Vendu","En stock"))</f>
        <v/>
      </c>
      <c r="M413" s="17" t="str">
        <f aca="false">IF(J413="","",J413-F413-G413-K413)</f>
        <v/>
      </c>
      <c r="N413" s="40" t="str">
        <f aca="false">IF(OR(J413="",J413=0),"",M413/J413)</f>
        <v/>
      </c>
      <c r="O413" s="41" t="str">
        <f aca="true">IF(D413="","",IF(I413&lt;&gt;"",I413,TODAY())-D413)</f>
        <v/>
      </c>
    </row>
    <row r="414" customFormat="false" ht="15" hidden="false" customHeight="false" outlineLevel="0" collapsed="false">
      <c r="A414" s="9"/>
      <c r="B414" s="9"/>
      <c r="C414" s="9"/>
      <c r="D414" s="34"/>
      <c r="E414" s="9"/>
      <c r="F414" s="35"/>
      <c r="G414" s="35"/>
      <c r="H414" s="35"/>
      <c r="I414" s="34"/>
      <c r="J414" s="35"/>
      <c r="K414" s="35"/>
      <c r="L414" s="39" t="str">
        <f aca="false">IF(A414="","",IF(I414&lt;&gt;"","Vendu","En stock"))</f>
        <v/>
      </c>
      <c r="M414" s="17" t="str">
        <f aca="false">IF(J414="","",J414-F414-G414-K414)</f>
        <v/>
      </c>
      <c r="N414" s="40" t="str">
        <f aca="false">IF(OR(J414="",J414=0),"",M414/J414)</f>
        <v/>
      </c>
      <c r="O414" s="41" t="str">
        <f aca="true">IF(D414="","",IF(I414&lt;&gt;"",I414,TODAY())-D414)</f>
        <v/>
      </c>
    </row>
    <row r="415" customFormat="false" ht="15" hidden="false" customHeight="false" outlineLevel="0" collapsed="false">
      <c r="A415" s="9"/>
      <c r="B415" s="9"/>
      <c r="C415" s="9"/>
      <c r="D415" s="34"/>
      <c r="E415" s="9"/>
      <c r="F415" s="35"/>
      <c r="G415" s="35"/>
      <c r="H415" s="35"/>
      <c r="I415" s="34"/>
      <c r="J415" s="35"/>
      <c r="K415" s="35"/>
      <c r="L415" s="39" t="str">
        <f aca="false">IF(A415="","",IF(I415&lt;&gt;"","Vendu","En stock"))</f>
        <v/>
      </c>
      <c r="M415" s="17" t="str">
        <f aca="false">IF(J415="","",J415-F415-G415-K415)</f>
        <v/>
      </c>
      <c r="N415" s="40" t="str">
        <f aca="false">IF(OR(J415="",J415=0),"",M415/J415)</f>
        <v/>
      </c>
      <c r="O415" s="41" t="str">
        <f aca="true">IF(D415="","",IF(I415&lt;&gt;"",I415,TODAY())-D415)</f>
        <v/>
      </c>
    </row>
    <row r="416" customFormat="false" ht="15" hidden="false" customHeight="false" outlineLevel="0" collapsed="false">
      <c r="A416" s="9"/>
      <c r="B416" s="9"/>
      <c r="C416" s="9"/>
      <c r="D416" s="34"/>
      <c r="E416" s="9"/>
      <c r="F416" s="35"/>
      <c r="G416" s="35"/>
      <c r="H416" s="35"/>
      <c r="I416" s="34"/>
      <c r="J416" s="35"/>
      <c r="K416" s="35"/>
      <c r="L416" s="39" t="str">
        <f aca="false">IF(A416="","",IF(I416&lt;&gt;"","Vendu","En stock"))</f>
        <v/>
      </c>
      <c r="M416" s="17" t="str">
        <f aca="false">IF(J416="","",J416-F416-G416-K416)</f>
        <v/>
      </c>
      <c r="N416" s="40" t="str">
        <f aca="false">IF(OR(J416="",J416=0),"",M416/J416)</f>
        <v/>
      </c>
      <c r="O416" s="41" t="str">
        <f aca="true">IF(D416="","",IF(I416&lt;&gt;"",I416,TODAY())-D416)</f>
        <v/>
      </c>
    </row>
    <row r="417" customFormat="false" ht="15" hidden="false" customHeight="false" outlineLevel="0" collapsed="false">
      <c r="A417" s="9"/>
      <c r="B417" s="9"/>
      <c r="C417" s="9"/>
      <c r="D417" s="34"/>
      <c r="E417" s="9"/>
      <c r="F417" s="35"/>
      <c r="G417" s="35"/>
      <c r="H417" s="35"/>
      <c r="I417" s="34"/>
      <c r="J417" s="35"/>
      <c r="K417" s="35"/>
      <c r="L417" s="39" t="str">
        <f aca="false">IF(A417="","",IF(I417&lt;&gt;"","Vendu","En stock"))</f>
        <v/>
      </c>
      <c r="M417" s="17" t="str">
        <f aca="false">IF(J417="","",J417-F417-G417-K417)</f>
        <v/>
      </c>
      <c r="N417" s="40" t="str">
        <f aca="false">IF(OR(J417="",J417=0),"",M417/J417)</f>
        <v/>
      </c>
      <c r="O417" s="41" t="str">
        <f aca="true">IF(D417="","",IF(I417&lt;&gt;"",I417,TODAY())-D417)</f>
        <v/>
      </c>
    </row>
    <row r="418" customFormat="false" ht="15" hidden="false" customHeight="false" outlineLevel="0" collapsed="false">
      <c r="A418" s="9"/>
      <c r="B418" s="9"/>
      <c r="C418" s="9"/>
      <c r="D418" s="34"/>
      <c r="E418" s="9"/>
      <c r="F418" s="35"/>
      <c r="G418" s="35"/>
      <c r="H418" s="35"/>
      <c r="I418" s="34"/>
      <c r="J418" s="35"/>
      <c r="K418" s="35"/>
      <c r="L418" s="39" t="str">
        <f aca="false">IF(A418="","",IF(I418&lt;&gt;"","Vendu","En stock"))</f>
        <v/>
      </c>
      <c r="M418" s="17" t="str">
        <f aca="false">IF(J418="","",J418-F418-G418-K418)</f>
        <v/>
      </c>
      <c r="N418" s="40" t="str">
        <f aca="false">IF(OR(J418="",J418=0),"",M418/J418)</f>
        <v/>
      </c>
      <c r="O418" s="41" t="str">
        <f aca="true">IF(D418="","",IF(I418&lt;&gt;"",I418,TODAY())-D418)</f>
        <v/>
      </c>
    </row>
    <row r="419" customFormat="false" ht="15" hidden="false" customHeight="false" outlineLevel="0" collapsed="false">
      <c r="A419" s="9"/>
      <c r="B419" s="9"/>
      <c r="C419" s="9"/>
      <c r="D419" s="34"/>
      <c r="E419" s="9"/>
      <c r="F419" s="35"/>
      <c r="G419" s="35"/>
      <c r="H419" s="35"/>
      <c r="I419" s="34"/>
      <c r="J419" s="35"/>
      <c r="K419" s="35"/>
      <c r="L419" s="39" t="str">
        <f aca="false">IF(A419="","",IF(I419&lt;&gt;"","Vendu","En stock"))</f>
        <v/>
      </c>
      <c r="M419" s="17" t="str">
        <f aca="false">IF(J419="","",J419-F419-G419-K419)</f>
        <v/>
      </c>
      <c r="N419" s="40" t="str">
        <f aca="false">IF(OR(J419="",J419=0),"",M419/J419)</f>
        <v/>
      </c>
      <c r="O419" s="41" t="str">
        <f aca="true">IF(D419="","",IF(I419&lt;&gt;"",I419,TODAY())-D419)</f>
        <v/>
      </c>
    </row>
    <row r="420" customFormat="false" ht="15" hidden="false" customHeight="false" outlineLevel="0" collapsed="false">
      <c r="A420" s="9"/>
      <c r="B420" s="9"/>
      <c r="C420" s="9"/>
      <c r="D420" s="34"/>
      <c r="E420" s="9"/>
      <c r="F420" s="35"/>
      <c r="G420" s="35"/>
      <c r="H420" s="35"/>
      <c r="I420" s="34"/>
      <c r="J420" s="35"/>
      <c r="K420" s="35"/>
      <c r="L420" s="39" t="str">
        <f aca="false">IF(A420="","",IF(I420&lt;&gt;"","Vendu","En stock"))</f>
        <v/>
      </c>
      <c r="M420" s="17" t="str">
        <f aca="false">IF(J420="","",J420-F420-G420-K420)</f>
        <v/>
      </c>
      <c r="N420" s="40" t="str">
        <f aca="false">IF(OR(J420="",J420=0),"",M420/J420)</f>
        <v/>
      </c>
      <c r="O420" s="41" t="str">
        <f aca="true">IF(D420="","",IF(I420&lt;&gt;"",I420,TODAY())-D420)</f>
        <v/>
      </c>
    </row>
    <row r="421" customFormat="false" ht="15" hidden="false" customHeight="false" outlineLevel="0" collapsed="false">
      <c r="A421" s="9"/>
      <c r="B421" s="9"/>
      <c r="C421" s="9"/>
      <c r="D421" s="34"/>
      <c r="E421" s="9"/>
      <c r="F421" s="35"/>
      <c r="G421" s="35"/>
      <c r="H421" s="35"/>
      <c r="I421" s="34"/>
      <c r="J421" s="35"/>
      <c r="K421" s="35"/>
      <c r="L421" s="39" t="str">
        <f aca="false">IF(A421="","",IF(I421&lt;&gt;"","Vendu","En stock"))</f>
        <v/>
      </c>
      <c r="M421" s="17" t="str">
        <f aca="false">IF(J421="","",J421-F421-G421-K421)</f>
        <v/>
      </c>
      <c r="N421" s="40" t="str">
        <f aca="false">IF(OR(J421="",J421=0),"",M421/J421)</f>
        <v/>
      </c>
      <c r="O421" s="41" t="str">
        <f aca="true">IF(D421="","",IF(I421&lt;&gt;"",I421,TODAY())-D421)</f>
        <v/>
      </c>
    </row>
    <row r="422" customFormat="false" ht="15" hidden="false" customHeight="false" outlineLevel="0" collapsed="false">
      <c r="A422" s="9"/>
      <c r="B422" s="9"/>
      <c r="C422" s="9"/>
      <c r="D422" s="34"/>
      <c r="E422" s="9"/>
      <c r="F422" s="35"/>
      <c r="G422" s="35"/>
      <c r="H422" s="35"/>
      <c r="I422" s="34"/>
      <c r="J422" s="35"/>
      <c r="K422" s="35"/>
      <c r="L422" s="39" t="str">
        <f aca="false">IF(A422="","",IF(I422&lt;&gt;"","Vendu","En stock"))</f>
        <v/>
      </c>
      <c r="M422" s="17" t="str">
        <f aca="false">IF(J422="","",J422-F422-G422-K422)</f>
        <v/>
      </c>
      <c r="N422" s="40" t="str">
        <f aca="false">IF(OR(J422="",J422=0),"",M422/J422)</f>
        <v/>
      </c>
      <c r="O422" s="41" t="str">
        <f aca="true">IF(D422="","",IF(I422&lt;&gt;"",I422,TODAY())-D422)</f>
        <v/>
      </c>
    </row>
    <row r="423" customFormat="false" ht="15" hidden="false" customHeight="false" outlineLevel="0" collapsed="false">
      <c r="A423" s="9"/>
      <c r="B423" s="9"/>
      <c r="C423" s="9"/>
      <c r="D423" s="34"/>
      <c r="E423" s="9"/>
      <c r="F423" s="35"/>
      <c r="G423" s="35"/>
      <c r="H423" s="35"/>
      <c r="I423" s="34"/>
      <c r="J423" s="35"/>
      <c r="K423" s="35"/>
      <c r="L423" s="39" t="str">
        <f aca="false">IF(A423="","",IF(I423&lt;&gt;"","Vendu","En stock"))</f>
        <v/>
      </c>
      <c r="M423" s="17" t="str">
        <f aca="false">IF(J423="","",J423-F423-G423-K423)</f>
        <v/>
      </c>
      <c r="N423" s="40" t="str">
        <f aca="false">IF(OR(J423="",J423=0),"",M423/J423)</f>
        <v/>
      </c>
      <c r="O423" s="41" t="str">
        <f aca="true">IF(D423="","",IF(I423&lt;&gt;"",I423,TODAY())-D423)</f>
        <v/>
      </c>
    </row>
    <row r="424" customFormat="false" ht="15" hidden="false" customHeight="false" outlineLevel="0" collapsed="false">
      <c r="A424" s="9"/>
      <c r="B424" s="9"/>
      <c r="C424" s="9"/>
      <c r="D424" s="34"/>
      <c r="E424" s="9"/>
      <c r="F424" s="35"/>
      <c r="G424" s="35"/>
      <c r="H424" s="35"/>
      <c r="I424" s="34"/>
      <c r="J424" s="35"/>
      <c r="K424" s="35"/>
      <c r="L424" s="39" t="str">
        <f aca="false">IF(A424="","",IF(I424&lt;&gt;"","Vendu","En stock"))</f>
        <v/>
      </c>
      <c r="M424" s="17" t="str">
        <f aca="false">IF(J424="","",J424-F424-G424-K424)</f>
        <v/>
      </c>
      <c r="N424" s="40" t="str">
        <f aca="false">IF(OR(J424="",J424=0),"",M424/J424)</f>
        <v/>
      </c>
      <c r="O424" s="41" t="str">
        <f aca="true">IF(D424="","",IF(I424&lt;&gt;"",I424,TODAY())-D424)</f>
        <v/>
      </c>
    </row>
    <row r="425" customFormat="false" ht="15" hidden="false" customHeight="false" outlineLevel="0" collapsed="false">
      <c r="A425" s="9"/>
      <c r="B425" s="9"/>
      <c r="C425" s="9"/>
      <c r="D425" s="34"/>
      <c r="E425" s="9"/>
      <c r="F425" s="35"/>
      <c r="G425" s="35"/>
      <c r="H425" s="35"/>
      <c r="I425" s="34"/>
      <c r="J425" s="35"/>
      <c r="K425" s="35"/>
      <c r="L425" s="39" t="str">
        <f aca="false">IF(A425="","",IF(I425&lt;&gt;"","Vendu","En stock"))</f>
        <v/>
      </c>
      <c r="M425" s="17" t="str">
        <f aca="false">IF(J425="","",J425-F425-G425-K425)</f>
        <v/>
      </c>
      <c r="N425" s="40" t="str">
        <f aca="false">IF(OR(J425="",J425=0),"",M425/J425)</f>
        <v/>
      </c>
      <c r="O425" s="41" t="str">
        <f aca="true">IF(D425="","",IF(I425&lt;&gt;"",I425,TODAY())-D425)</f>
        <v/>
      </c>
    </row>
    <row r="426" customFormat="false" ht="15" hidden="false" customHeight="false" outlineLevel="0" collapsed="false">
      <c r="A426" s="9"/>
      <c r="B426" s="9"/>
      <c r="C426" s="9"/>
      <c r="D426" s="34"/>
      <c r="E426" s="9"/>
      <c r="F426" s="35"/>
      <c r="G426" s="35"/>
      <c r="H426" s="35"/>
      <c r="I426" s="34"/>
      <c r="J426" s="35"/>
      <c r="K426" s="35"/>
      <c r="L426" s="39" t="str">
        <f aca="false">IF(A426="","",IF(I426&lt;&gt;"","Vendu","En stock"))</f>
        <v/>
      </c>
      <c r="M426" s="17" t="str">
        <f aca="false">IF(J426="","",J426-F426-G426-K426)</f>
        <v/>
      </c>
      <c r="N426" s="40" t="str">
        <f aca="false">IF(OR(J426="",J426=0),"",M426/J426)</f>
        <v/>
      </c>
      <c r="O426" s="41" t="str">
        <f aca="true">IF(D426="","",IF(I426&lt;&gt;"",I426,TODAY())-D426)</f>
        <v/>
      </c>
    </row>
    <row r="427" customFormat="false" ht="15" hidden="false" customHeight="false" outlineLevel="0" collapsed="false">
      <c r="A427" s="9"/>
      <c r="B427" s="9"/>
      <c r="C427" s="9"/>
      <c r="D427" s="34"/>
      <c r="E427" s="9"/>
      <c r="F427" s="35"/>
      <c r="G427" s="35"/>
      <c r="H427" s="35"/>
      <c r="I427" s="34"/>
      <c r="J427" s="35"/>
      <c r="K427" s="35"/>
      <c r="L427" s="39" t="str">
        <f aca="false">IF(A427="","",IF(I427&lt;&gt;"","Vendu","En stock"))</f>
        <v/>
      </c>
      <c r="M427" s="17" t="str">
        <f aca="false">IF(J427="","",J427-F427-G427-K427)</f>
        <v/>
      </c>
      <c r="N427" s="40" t="str">
        <f aca="false">IF(OR(J427="",J427=0),"",M427/J427)</f>
        <v/>
      </c>
      <c r="O427" s="41" t="str">
        <f aca="true">IF(D427="","",IF(I427&lt;&gt;"",I427,TODAY())-D427)</f>
        <v/>
      </c>
    </row>
    <row r="428" customFormat="false" ht="15" hidden="false" customHeight="false" outlineLevel="0" collapsed="false">
      <c r="A428" s="9"/>
      <c r="B428" s="9"/>
      <c r="C428" s="9"/>
      <c r="D428" s="34"/>
      <c r="E428" s="9"/>
      <c r="F428" s="35"/>
      <c r="G428" s="35"/>
      <c r="H428" s="35"/>
      <c r="I428" s="34"/>
      <c r="J428" s="35"/>
      <c r="K428" s="35"/>
      <c r="L428" s="39" t="str">
        <f aca="false">IF(A428="","",IF(I428&lt;&gt;"","Vendu","En stock"))</f>
        <v/>
      </c>
      <c r="M428" s="17" t="str">
        <f aca="false">IF(J428="","",J428-F428-G428-K428)</f>
        <v/>
      </c>
      <c r="N428" s="40" t="str">
        <f aca="false">IF(OR(J428="",J428=0),"",M428/J428)</f>
        <v/>
      </c>
      <c r="O428" s="41" t="str">
        <f aca="true">IF(D428="","",IF(I428&lt;&gt;"",I428,TODAY())-D428)</f>
        <v/>
      </c>
    </row>
    <row r="429" customFormat="false" ht="15" hidden="false" customHeight="false" outlineLevel="0" collapsed="false">
      <c r="A429" s="9"/>
      <c r="B429" s="9"/>
      <c r="C429" s="9"/>
      <c r="D429" s="34"/>
      <c r="E429" s="9"/>
      <c r="F429" s="35"/>
      <c r="G429" s="35"/>
      <c r="H429" s="35"/>
      <c r="I429" s="34"/>
      <c r="J429" s="35"/>
      <c r="K429" s="35"/>
      <c r="L429" s="39" t="str">
        <f aca="false">IF(A429="","",IF(I429&lt;&gt;"","Vendu","En stock"))</f>
        <v/>
      </c>
      <c r="M429" s="17" t="str">
        <f aca="false">IF(J429="","",J429-F429-G429-K429)</f>
        <v/>
      </c>
      <c r="N429" s="40" t="str">
        <f aca="false">IF(OR(J429="",J429=0),"",M429/J429)</f>
        <v/>
      </c>
      <c r="O429" s="41" t="str">
        <f aca="true">IF(D429="","",IF(I429&lt;&gt;"",I429,TODAY())-D429)</f>
        <v/>
      </c>
    </row>
    <row r="430" customFormat="false" ht="15" hidden="false" customHeight="false" outlineLevel="0" collapsed="false">
      <c r="A430" s="9"/>
      <c r="B430" s="9"/>
      <c r="C430" s="9"/>
      <c r="D430" s="34"/>
      <c r="E430" s="9"/>
      <c r="F430" s="35"/>
      <c r="G430" s="35"/>
      <c r="H430" s="35"/>
      <c r="I430" s="34"/>
      <c r="J430" s="35"/>
      <c r="K430" s="35"/>
      <c r="L430" s="39" t="str">
        <f aca="false">IF(A430="","",IF(I430&lt;&gt;"","Vendu","En stock"))</f>
        <v/>
      </c>
      <c r="M430" s="17" t="str">
        <f aca="false">IF(J430="","",J430-F430-G430-K430)</f>
        <v/>
      </c>
      <c r="N430" s="40" t="str">
        <f aca="false">IF(OR(J430="",J430=0),"",M430/J430)</f>
        <v/>
      </c>
      <c r="O430" s="41" t="str">
        <f aca="true">IF(D430="","",IF(I430&lt;&gt;"",I430,TODAY())-D430)</f>
        <v/>
      </c>
    </row>
    <row r="431" customFormat="false" ht="15" hidden="false" customHeight="false" outlineLevel="0" collapsed="false">
      <c r="A431" s="9"/>
      <c r="B431" s="9"/>
      <c r="C431" s="9"/>
      <c r="D431" s="34"/>
      <c r="E431" s="9"/>
      <c r="F431" s="35"/>
      <c r="G431" s="35"/>
      <c r="H431" s="35"/>
      <c r="I431" s="34"/>
      <c r="J431" s="35"/>
      <c r="K431" s="35"/>
      <c r="L431" s="39" t="str">
        <f aca="false">IF(A431="","",IF(I431&lt;&gt;"","Vendu","En stock"))</f>
        <v/>
      </c>
      <c r="M431" s="17" t="str">
        <f aca="false">IF(J431="","",J431-F431-G431-K431)</f>
        <v/>
      </c>
      <c r="N431" s="40" t="str">
        <f aca="false">IF(OR(J431="",J431=0),"",M431/J431)</f>
        <v/>
      </c>
      <c r="O431" s="41" t="str">
        <f aca="true">IF(D431="","",IF(I431&lt;&gt;"",I431,TODAY())-D431)</f>
        <v/>
      </c>
    </row>
    <row r="432" customFormat="false" ht="15" hidden="false" customHeight="false" outlineLevel="0" collapsed="false">
      <c r="A432" s="9"/>
      <c r="B432" s="9"/>
      <c r="C432" s="9"/>
      <c r="D432" s="34"/>
      <c r="E432" s="9"/>
      <c r="F432" s="35"/>
      <c r="G432" s="35"/>
      <c r="H432" s="35"/>
      <c r="I432" s="34"/>
      <c r="J432" s="35"/>
      <c r="K432" s="35"/>
      <c r="L432" s="39" t="str">
        <f aca="false">IF(A432="","",IF(I432&lt;&gt;"","Vendu","En stock"))</f>
        <v/>
      </c>
      <c r="M432" s="17" t="str">
        <f aca="false">IF(J432="","",J432-F432-G432-K432)</f>
        <v/>
      </c>
      <c r="N432" s="40" t="str">
        <f aca="false">IF(OR(J432="",J432=0),"",M432/J432)</f>
        <v/>
      </c>
      <c r="O432" s="41" t="str">
        <f aca="true">IF(D432="","",IF(I432&lt;&gt;"",I432,TODAY())-D432)</f>
        <v/>
      </c>
    </row>
    <row r="433" customFormat="false" ht="15" hidden="false" customHeight="false" outlineLevel="0" collapsed="false">
      <c r="A433" s="9"/>
      <c r="B433" s="9"/>
      <c r="C433" s="9"/>
      <c r="D433" s="34"/>
      <c r="E433" s="9"/>
      <c r="F433" s="35"/>
      <c r="G433" s="35"/>
      <c r="H433" s="35"/>
      <c r="I433" s="34"/>
      <c r="J433" s="35"/>
      <c r="K433" s="35"/>
      <c r="L433" s="39" t="str">
        <f aca="false">IF(A433="","",IF(I433&lt;&gt;"","Vendu","En stock"))</f>
        <v/>
      </c>
      <c r="M433" s="17" t="str">
        <f aca="false">IF(J433="","",J433-F433-G433-K433)</f>
        <v/>
      </c>
      <c r="N433" s="40" t="str">
        <f aca="false">IF(OR(J433="",J433=0),"",M433/J433)</f>
        <v/>
      </c>
      <c r="O433" s="41" t="str">
        <f aca="true">IF(D433="","",IF(I433&lt;&gt;"",I433,TODAY())-D433)</f>
        <v/>
      </c>
    </row>
    <row r="434" customFormat="false" ht="15" hidden="false" customHeight="false" outlineLevel="0" collapsed="false">
      <c r="A434" s="9"/>
      <c r="B434" s="9"/>
      <c r="C434" s="9"/>
      <c r="D434" s="34"/>
      <c r="E434" s="9"/>
      <c r="F434" s="35"/>
      <c r="G434" s="35"/>
      <c r="H434" s="35"/>
      <c r="I434" s="34"/>
      <c r="J434" s="35"/>
      <c r="K434" s="35"/>
      <c r="L434" s="39" t="str">
        <f aca="false">IF(A434="","",IF(I434&lt;&gt;"","Vendu","En stock"))</f>
        <v/>
      </c>
      <c r="M434" s="17" t="str">
        <f aca="false">IF(J434="","",J434-F434-G434-K434)</f>
        <v/>
      </c>
      <c r="N434" s="40" t="str">
        <f aca="false">IF(OR(J434="",J434=0),"",M434/J434)</f>
        <v/>
      </c>
      <c r="O434" s="41" t="str">
        <f aca="true">IF(D434="","",IF(I434&lt;&gt;"",I434,TODAY())-D434)</f>
        <v/>
      </c>
    </row>
    <row r="435" customFormat="false" ht="15" hidden="false" customHeight="false" outlineLevel="0" collapsed="false">
      <c r="A435" s="9"/>
      <c r="B435" s="9"/>
      <c r="C435" s="9"/>
      <c r="D435" s="34"/>
      <c r="E435" s="9"/>
      <c r="F435" s="35"/>
      <c r="G435" s="35"/>
      <c r="H435" s="35"/>
      <c r="I435" s="34"/>
      <c r="J435" s="35"/>
      <c r="K435" s="35"/>
      <c r="L435" s="39" t="str">
        <f aca="false">IF(A435="","",IF(I435&lt;&gt;"","Vendu","En stock"))</f>
        <v/>
      </c>
      <c r="M435" s="17" t="str">
        <f aca="false">IF(J435="","",J435-F435-G435-K435)</f>
        <v/>
      </c>
      <c r="N435" s="40" t="str">
        <f aca="false">IF(OR(J435="",J435=0),"",M435/J435)</f>
        <v/>
      </c>
      <c r="O435" s="41" t="str">
        <f aca="true">IF(D435="","",IF(I435&lt;&gt;"",I435,TODAY())-D435)</f>
        <v/>
      </c>
    </row>
    <row r="436" customFormat="false" ht="15" hidden="false" customHeight="false" outlineLevel="0" collapsed="false">
      <c r="A436" s="9"/>
      <c r="B436" s="9"/>
      <c r="C436" s="9"/>
      <c r="D436" s="34"/>
      <c r="E436" s="9"/>
      <c r="F436" s="35"/>
      <c r="G436" s="35"/>
      <c r="H436" s="35"/>
      <c r="I436" s="34"/>
      <c r="J436" s="35"/>
      <c r="K436" s="35"/>
      <c r="L436" s="39" t="str">
        <f aca="false">IF(A436="","",IF(I436&lt;&gt;"","Vendu","En stock"))</f>
        <v/>
      </c>
      <c r="M436" s="17" t="str">
        <f aca="false">IF(J436="","",J436-F436-G436-K436)</f>
        <v/>
      </c>
      <c r="N436" s="40" t="str">
        <f aca="false">IF(OR(J436="",J436=0),"",M436/J436)</f>
        <v/>
      </c>
      <c r="O436" s="41" t="str">
        <f aca="true">IF(D436="","",IF(I436&lt;&gt;"",I436,TODAY())-D436)</f>
        <v/>
      </c>
    </row>
    <row r="437" customFormat="false" ht="15" hidden="false" customHeight="false" outlineLevel="0" collapsed="false">
      <c r="A437" s="9"/>
      <c r="B437" s="9"/>
      <c r="C437" s="9"/>
      <c r="D437" s="34"/>
      <c r="E437" s="9"/>
      <c r="F437" s="35"/>
      <c r="G437" s="35"/>
      <c r="H437" s="35"/>
      <c r="I437" s="34"/>
      <c r="J437" s="35"/>
      <c r="K437" s="35"/>
      <c r="L437" s="39" t="str">
        <f aca="false">IF(A437="","",IF(I437&lt;&gt;"","Vendu","En stock"))</f>
        <v/>
      </c>
      <c r="M437" s="17" t="str">
        <f aca="false">IF(J437="","",J437-F437-G437-K437)</f>
        <v/>
      </c>
      <c r="N437" s="40" t="str">
        <f aca="false">IF(OR(J437="",J437=0),"",M437/J437)</f>
        <v/>
      </c>
      <c r="O437" s="41" t="str">
        <f aca="true">IF(D437="","",IF(I437&lt;&gt;"",I437,TODAY())-D437)</f>
        <v/>
      </c>
    </row>
    <row r="438" customFormat="false" ht="15" hidden="false" customHeight="false" outlineLevel="0" collapsed="false">
      <c r="A438" s="9"/>
      <c r="B438" s="9"/>
      <c r="C438" s="9"/>
      <c r="D438" s="34"/>
      <c r="E438" s="9"/>
      <c r="F438" s="35"/>
      <c r="G438" s="35"/>
      <c r="H438" s="35"/>
      <c r="I438" s="34"/>
      <c r="J438" s="35"/>
      <c r="K438" s="35"/>
      <c r="L438" s="39" t="str">
        <f aca="false">IF(A438="","",IF(I438&lt;&gt;"","Vendu","En stock"))</f>
        <v/>
      </c>
      <c r="M438" s="17" t="str">
        <f aca="false">IF(J438="","",J438-F438-G438-K438)</f>
        <v/>
      </c>
      <c r="N438" s="40" t="str">
        <f aca="false">IF(OR(J438="",J438=0),"",M438/J438)</f>
        <v/>
      </c>
      <c r="O438" s="41" t="str">
        <f aca="true">IF(D438="","",IF(I438&lt;&gt;"",I438,TODAY())-D438)</f>
        <v/>
      </c>
    </row>
    <row r="439" customFormat="false" ht="15" hidden="false" customHeight="false" outlineLevel="0" collapsed="false">
      <c r="A439" s="9"/>
      <c r="B439" s="9"/>
      <c r="C439" s="9"/>
      <c r="D439" s="34"/>
      <c r="E439" s="9"/>
      <c r="F439" s="35"/>
      <c r="G439" s="35"/>
      <c r="H439" s="35"/>
      <c r="I439" s="34"/>
      <c r="J439" s="35"/>
      <c r="K439" s="35"/>
      <c r="L439" s="39" t="str">
        <f aca="false">IF(A439="","",IF(I439&lt;&gt;"","Vendu","En stock"))</f>
        <v/>
      </c>
      <c r="M439" s="17" t="str">
        <f aca="false">IF(J439="","",J439-F439-G439-K439)</f>
        <v/>
      </c>
      <c r="N439" s="40" t="str">
        <f aca="false">IF(OR(J439="",J439=0),"",M439/J439)</f>
        <v/>
      </c>
      <c r="O439" s="41" t="str">
        <f aca="true">IF(D439="","",IF(I439&lt;&gt;"",I439,TODAY())-D439)</f>
        <v/>
      </c>
    </row>
    <row r="440" customFormat="false" ht="15" hidden="false" customHeight="false" outlineLevel="0" collapsed="false">
      <c r="A440" s="9"/>
      <c r="B440" s="9"/>
      <c r="C440" s="9"/>
      <c r="D440" s="34"/>
      <c r="E440" s="9"/>
      <c r="F440" s="35"/>
      <c r="G440" s="35"/>
      <c r="H440" s="35"/>
      <c r="I440" s="34"/>
      <c r="J440" s="35"/>
      <c r="K440" s="35"/>
      <c r="L440" s="39" t="str">
        <f aca="false">IF(A440="","",IF(I440&lt;&gt;"","Vendu","En stock"))</f>
        <v/>
      </c>
      <c r="M440" s="17" t="str">
        <f aca="false">IF(J440="","",J440-F440-G440-K440)</f>
        <v/>
      </c>
      <c r="N440" s="40" t="str">
        <f aca="false">IF(OR(J440="",J440=0),"",M440/J440)</f>
        <v/>
      </c>
      <c r="O440" s="41" t="str">
        <f aca="true">IF(D440="","",IF(I440&lt;&gt;"",I440,TODAY())-D440)</f>
        <v/>
      </c>
    </row>
    <row r="441" customFormat="false" ht="15" hidden="false" customHeight="false" outlineLevel="0" collapsed="false">
      <c r="A441" s="9"/>
      <c r="B441" s="9"/>
      <c r="C441" s="9"/>
      <c r="D441" s="34"/>
      <c r="E441" s="9"/>
      <c r="F441" s="35"/>
      <c r="G441" s="35"/>
      <c r="H441" s="35"/>
      <c r="I441" s="34"/>
      <c r="J441" s="35"/>
      <c r="K441" s="35"/>
      <c r="L441" s="39" t="str">
        <f aca="false">IF(A441="","",IF(I441&lt;&gt;"","Vendu","En stock"))</f>
        <v/>
      </c>
      <c r="M441" s="17" t="str">
        <f aca="false">IF(J441="","",J441-F441-G441-K441)</f>
        <v/>
      </c>
      <c r="N441" s="40" t="str">
        <f aca="false">IF(OR(J441="",J441=0),"",M441/J441)</f>
        <v/>
      </c>
      <c r="O441" s="41" t="str">
        <f aca="true">IF(D441="","",IF(I441&lt;&gt;"",I441,TODAY())-D441)</f>
        <v/>
      </c>
    </row>
    <row r="442" customFormat="false" ht="15" hidden="false" customHeight="false" outlineLevel="0" collapsed="false">
      <c r="A442" s="9"/>
      <c r="B442" s="9"/>
      <c r="C442" s="9"/>
      <c r="D442" s="34"/>
      <c r="E442" s="9"/>
      <c r="F442" s="35"/>
      <c r="G442" s="35"/>
      <c r="H442" s="35"/>
      <c r="I442" s="34"/>
      <c r="J442" s="35"/>
      <c r="K442" s="35"/>
      <c r="L442" s="39" t="str">
        <f aca="false">IF(A442="","",IF(I442&lt;&gt;"","Vendu","En stock"))</f>
        <v/>
      </c>
      <c r="M442" s="17" t="str">
        <f aca="false">IF(J442="","",J442-F442-G442-K442)</f>
        <v/>
      </c>
      <c r="N442" s="40" t="str">
        <f aca="false">IF(OR(J442="",J442=0),"",M442/J442)</f>
        <v/>
      </c>
      <c r="O442" s="41" t="str">
        <f aca="true">IF(D442="","",IF(I442&lt;&gt;"",I442,TODAY())-D442)</f>
        <v/>
      </c>
    </row>
    <row r="443" customFormat="false" ht="15" hidden="false" customHeight="false" outlineLevel="0" collapsed="false">
      <c r="A443" s="9"/>
      <c r="B443" s="9"/>
      <c r="C443" s="9"/>
      <c r="D443" s="34"/>
      <c r="E443" s="9"/>
      <c r="F443" s="35"/>
      <c r="G443" s="35"/>
      <c r="H443" s="35"/>
      <c r="I443" s="34"/>
      <c r="J443" s="35"/>
      <c r="K443" s="35"/>
      <c r="L443" s="39" t="str">
        <f aca="false">IF(A443="","",IF(I443&lt;&gt;"","Vendu","En stock"))</f>
        <v/>
      </c>
      <c r="M443" s="17" t="str">
        <f aca="false">IF(J443="","",J443-F443-G443-K443)</f>
        <v/>
      </c>
      <c r="N443" s="40" t="str">
        <f aca="false">IF(OR(J443="",J443=0),"",M443/J443)</f>
        <v/>
      </c>
      <c r="O443" s="41" t="str">
        <f aca="true">IF(D443="","",IF(I443&lt;&gt;"",I443,TODAY())-D443)</f>
        <v/>
      </c>
    </row>
    <row r="444" customFormat="false" ht="15" hidden="false" customHeight="false" outlineLevel="0" collapsed="false">
      <c r="A444" s="9"/>
      <c r="B444" s="9"/>
      <c r="C444" s="9"/>
      <c r="D444" s="34"/>
      <c r="E444" s="9"/>
      <c r="F444" s="35"/>
      <c r="G444" s="35"/>
      <c r="H444" s="35"/>
      <c r="I444" s="34"/>
      <c r="J444" s="35"/>
      <c r="K444" s="35"/>
      <c r="L444" s="39" t="str">
        <f aca="false">IF(A444="","",IF(I444&lt;&gt;"","Vendu","En stock"))</f>
        <v/>
      </c>
      <c r="M444" s="17" t="str">
        <f aca="false">IF(J444="","",J444-F444-G444-K444)</f>
        <v/>
      </c>
      <c r="N444" s="40" t="str">
        <f aca="false">IF(OR(J444="",J444=0),"",M444/J444)</f>
        <v/>
      </c>
      <c r="O444" s="41" t="str">
        <f aca="true">IF(D444="","",IF(I444&lt;&gt;"",I444,TODAY())-D444)</f>
        <v/>
      </c>
    </row>
    <row r="445" customFormat="false" ht="15" hidden="false" customHeight="false" outlineLevel="0" collapsed="false">
      <c r="A445" s="9"/>
      <c r="B445" s="9"/>
      <c r="C445" s="9"/>
      <c r="D445" s="34"/>
      <c r="E445" s="9"/>
      <c r="F445" s="35"/>
      <c r="G445" s="35"/>
      <c r="H445" s="35"/>
      <c r="I445" s="34"/>
      <c r="J445" s="35"/>
      <c r="K445" s="35"/>
      <c r="L445" s="39" t="str">
        <f aca="false">IF(A445="","",IF(I445&lt;&gt;"","Vendu","En stock"))</f>
        <v/>
      </c>
      <c r="M445" s="17" t="str">
        <f aca="false">IF(J445="","",J445-F445-G445-K445)</f>
        <v/>
      </c>
      <c r="N445" s="40" t="str">
        <f aca="false">IF(OR(J445="",J445=0),"",M445/J445)</f>
        <v/>
      </c>
      <c r="O445" s="41" t="str">
        <f aca="true">IF(D445="","",IF(I445&lt;&gt;"",I445,TODAY())-D445)</f>
        <v/>
      </c>
    </row>
    <row r="446" customFormat="false" ht="15" hidden="false" customHeight="false" outlineLevel="0" collapsed="false">
      <c r="A446" s="9"/>
      <c r="B446" s="9"/>
      <c r="C446" s="9"/>
      <c r="D446" s="34"/>
      <c r="E446" s="9"/>
      <c r="F446" s="35"/>
      <c r="G446" s="35"/>
      <c r="H446" s="35"/>
      <c r="I446" s="34"/>
      <c r="J446" s="35"/>
      <c r="K446" s="35"/>
      <c r="L446" s="39" t="str">
        <f aca="false">IF(A446="","",IF(I446&lt;&gt;"","Vendu","En stock"))</f>
        <v/>
      </c>
      <c r="M446" s="17" t="str">
        <f aca="false">IF(J446="","",J446-F446-G446-K446)</f>
        <v/>
      </c>
      <c r="N446" s="40" t="str">
        <f aca="false">IF(OR(J446="",J446=0),"",M446/J446)</f>
        <v/>
      </c>
      <c r="O446" s="41" t="str">
        <f aca="true">IF(D446="","",IF(I446&lt;&gt;"",I446,TODAY())-D446)</f>
        <v/>
      </c>
    </row>
    <row r="447" customFormat="false" ht="15" hidden="false" customHeight="false" outlineLevel="0" collapsed="false">
      <c r="A447" s="9"/>
      <c r="B447" s="9"/>
      <c r="C447" s="9"/>
      <c r="D447" s="34"/>
      <c r="E447" s="9"/>
      <c r="F447" s="35"/>
      <c r="G447" s="35"/>
      <c r="H447" s="35"/>
      <c r="I447" s="34"/>
      <c r="J447" s="35"/>
      <c r="K447" s="35"/>
      <c r="L447" s="39" t="str">
        <f aca="false">IF(A447="","",IF(I447&lt;&gt;"","Vendu","En stock"))</f>
        <v/>
      </c>
      <c r="M447" s="17" t="str">
        <f aca="false">IF(J447="","",J447-F447-G447-K447)</f>
        <v/>
      </c>
      <c r="N447" s="40" t="str">
        <f aca="false">IF(OR(J447="",J447=0),"",M447/J447)</f>
        <v/>
      </c>
      <c r="O447" s="41" t="str">
        <f aca="true">IF(D447="","",IF(I447&lt;&gt;"",I447,TODAY())-D447)</f>
        <v/>
      </c>
    </row>
    <row r="448" customFormat="false" ht="15" hidden="false" customHeight="false" outlineLevel="0" collapsed="false">
      <c r="A448" s="9"/>
      <c r="B448" s="9"/>
      <c r="C448" s="9"/>
      <c r="D448" s="34"/>
      <c r="E448" s="9"/>
      <c r="F448" s="35"/>
      <c r="G448" s="35"/>
      <c r="H448" s="35"/>
      <c r="I448" s="34"/>
      <c r="J448" s="35"/>
      <c r="K448" s="35"/>
      <c r="L448" s="39" t="str">
        <f aca="false">IF(A448="","",IF(I448&lt;&gt;"","Vendu","En stock"))</f>
        <v/>
      </c>
      <c r="M448" s="17" t="str">
        <f aca="false">IF(J448="","",J448-F448-G448-K448)</f>
        <v/>
      </c>
      <c r="N448" s="40" t="str">
        <f aca="false">IF(OR(J448="",J448=0),"",M448/J448)</f>
        <v/>
      </c>
      <c r="O448" s="41" t="str">
        <f aca="true">IF(D448="","",IF(I448&lt;&gt;"",I448,TODAY())-D448)</f>
        <v/>
      </c>
    </row>
    <row r="449" customFormat="false" ht="15" hidden="false" customHeight="false" outlineLevel="0" collapsed="false">
      <c r="A449" s="9"/>
      <c r="B449" s="9"/>
      <c r="C449" s="9"/>
      <c r="D449" s="34"/>
      <c r="E449" s="9"/>
      <c r="F449" s="35"/>
      <c r="G449" s="35"/>
      <c r="H449" s="35"/>
      <c r="I449" s="34"/>
      <c r="J449" s="35"/>
      <c r="K449" s="35"/>
      <c r="L449" s="39" t="str">
        <f aca="false">IF(A449="","",IF(I449&lt;&gt;"","Vendu","En stock"))</f>
        <v/>
      </c>
      <c r="M449" s="17" t="str">
        <f aca="false">IF(J449="","",J449-F449-G449-K449)</f>
        <v/>
      </c>
      <c r="N449" s="40" t="str">
        <f aca="false">IF(OR(J449="",J449=0),"",M449/J449)</f>
        <v/>
      </c>
      <c r="O449" s="41" t="str">
        <f aca="true">IF(D449="","",IF(I449&lt;&gt;"",I449,TODAY())-D449)</f>
        <v/>
      </c>
    </row>
    <row r="450" customFormat="false" ht="15" hidden="false" customHeight="false" outlineLevel="0" collapsed="false">
      <c r="A450" s="9"/>
      <c r="B450" s="9"/>
      <c r="C450" s="9"/>
      <c r="D450" s="34"/>
      <c r="E450" s="9"/>
      <c r="F450" s="35"/>
      <c r="G450" s="35"/>
      <c r="H450" s="35"/>
      <c r="I450" s="34"/>
      <c r="J450" s="35"/>
      <c r="K450" s="35"/>
      <c r="L450" s="39" t="str">
        <f aca="false">IF(A450="","",IF(I450&lt;&gt;"","Vendu","En stock"))</f>
        <v/>
      </c>
      <c r="M450" s="17" t="str">
        <f aca="false">IF(J450="","",J450-F450-G450-K450)</f>
        <v/>
      </c>
      <c r="N450" s="40" t="str">
        <f aca="false">IF(OR(J450="",J450=0),"",M450/J450)</f>
        <v/>
      </c>
      <c r="O450" s="41" t="str">
        <f aca="true">IF(D450="","",IF(I450&lt;&gt;"",I450,TODAY())-D450)</f>
        <v/>
      </c>
    </row>
    <row r="451" customFormat="false" ht="15" hidden="false" customHeight="false" outlineLevel="0" collapsed="false">
      <c r="A451" s="9"/>
      <c r="B451" s="9"/>
      <c r="C451" s="9"/>
      <c r="D451" s="34"/>
      <c r="E451" s="9"/>
      <c r="F451" s="35"/>
      <c r="G451" s="35"/>
      <c r="H451" s="35"/>
      <c r="I451" s="34"/>
      <c r="J451" s="35"/>
      <c r="K451" s="35"/>
      <c r="L451" s="39" t="str">
        <f aca="false">IF(A451="","",IF(I451&lt;&gt;"","Vendu","En stock"))</f>
        <v/>
      </c>
      <c r="M451" s="17" t="str">
        <f aca="false">IF(J451="","",J451-F451-G451-K451)</f>
        <v/>
      </c>
      <c r="N451" s="40" t="str">
        <f aca="false">IF(OR(J451="",J451=0),"",M451/J451)</f>
        <v/>
      </c>
      <c r="O451" s="41" t="str">
        <f aca="true">IF(D451="","",IF(I451&lt;&gt;"",I451,TODAY())-D451)</f>
        <v/>
      </c>
    </row>
    <row r="452" customFormat="false" ht="15" hidden="false" customHeight="false" outlineLevel="0" collapsed="false">
      <c r="A452" s="9"/>
      <c r="B452" s="9"/>
      <c r="C452" s="9"/>
      <c r="D452" s="34"/>
      <c r="E452" s="9"/>
      <c r="F452" s="35"/>
      <c r="G452" s="35"/>
      <c r="H452" s="35"/>
      <c r="I452" s="34"/>
      <c r="J452" s="35"/>
      <c r="K452" s="35"/>
      <c r="L452" s="39" t="str">
        <f aca="false">IF(A452="","",IF(I452&lt;&gt;"","Vendu","En stock"))</f>
        <v/>
      </c>
      <c r="M452" s="17" t="str">
        <f aca="false">IF(J452="","",J452-F452-G452-K452)</f>
        <v/>
      </c>
      <c r="N452" s="40" t="str">
        <f aca="false">IF(OR(J452="",J452=0),"",M452/J452)</f>
        <v/>
      </c>
      <c r="O452" s="41" t="str">
        <f aca="true">IF(D452="","",IF(I452&lt;&gt;"",I452,TODAY())-D452)</f>
        <v/>
      </c>
    </row>
    <row r="453" customFormat="false" ht="15" hidden="false" customHeight="false" outlineLevel="0" collapsed="false">
      <c r="A453" s="9"/>
      <c r="B453" s="9"/>
      <c r="C453" s="9"/>
      <c r="D453" s="34"/>
      <c r="E453" s="9"/>
      <c r="F453" s="35"/>
      <c r="G453" s="35"/>
      <c r="H453" s="35"/>
      <c r="I453" s="34"/>
      <c r="J453" s="35"/>
      <c r="K453" s="35"/>
      <c r="L453" s="39" t="str">
        <f aca="false">IF(A453="","",IF(I453&lt;&gt;"","Vendu","En stock"))</f>
        <v/>
      </c>
      <c r="M453" s="17" t="str">
        <f aca="false">IF(J453="","",J453-F453-G453-K453)</f>
        <v/>
      </c>
      <c r="N453" s="40" t="str">
        <f aca="false">IF(OR(J453="",J453=0),"",M453/J453)</f>
        <v/>
      </c>
      <c r="O453" s="41" t="str">
        <f aca="true">IF(D453="","",IF(I453&lt;&gt;"",I453,TODAY())-D453)</f>
        <v/>
      </c>
    </row>
    <row r="454" customFormat="false" ht="15" hidden="false" customHeight="false" outlineLevel="0" collapsed="false">
      <c r="A454" s="9"/>
      <c r="B454" s="9"/>
      <c r="C454" s="9"/>
      <c r="D454" s="34"/>
      <c r="E454" s="9"/>
      <c r="F454" s="35"/>
      <c r="G454" s="35"/>
      <c r="H454" s="35"/>
      <c r="I454" s="34"/>
      <c r="J454" s="35"/>
      <c r="K454" s="35"/>
      <c r="L454" s="39" t="str">
        <f aca="false">IF(A454="","",IF(I454&lt;&gt;"","Vendu","En stock"))</f>
        <v/>
      </c>
      <c r="M454" s="17" t="str">
        <f aca="false">IF(J454="","",J454-F454-G454-K454)</f>
        <v/>
      </c>
      <c r="N454" s="40" t="str">
        <f aca="false">IF(OR(J454="",J454=0),"",M454/J454)</f>
        <v/>
      </c>
      <c r="O454" s="41" t="str">
        <f aca="true">IF(D454="","",IF(I454&lt;&gt;"",I454,TODAY())-D454)</f>
        <v/>
      </c>
    </row>
    <row r="455" customFormat="false" ht="15" hidden="false" customHeight="false" outlineLevel="0" collapsed="false">
      <c r="A455" s="9"/>
      <c r="B455" s="9"/>
      <c r="C455" s="9"/>
      <c r="D455" s="34"/>
      <c r="E455" s="9"/>
      <c r="F455" s="35"/>
      <c r="G455" s="35"/>
      <c r="H455" s="35"/>
      <c r="I455" s="34"/>
      <c r="J455" s="35"/>
      <c r="K455" s="35"/>
      <c r="L455" s="39" t="str">
        <f aca="false">IF(A455="","",IF(I455&lt;&gt;"","Vendu","En stock"))</f>
        <v/>
      </c>
      <c r="M455" s="17" t="str">
        <f aca="false">IF(J455="","",J455-F455-G455-K455)</f>
        <v/>
      </c>
      <c r="N455" s="40" t="str">
        <f aca="false">IF(OR(J455="",J455=0),"",M455/J455)</f>
        <v/>
      </c>
      <c r="O455" s="41" t="str">
        <f aca="true">IF(D455="","",IF(I455&lt;&gt;"",I455,TODAY())-D455)</f>
        <v/>
      </c>
    </row>
    <row r="456" customFormat="false" ht="15" hidden="false" customHeight="false" outlineLevel="0" collapsed="false">
      <c r="A456" s="9"/>
      <c r="B456" s="9"/>
      <c r="C456" s="9"/>
      <c r="D456" s="34"/>
      <c r="E456" s="9"/>
      <c r="F456" s="35"/>
      <c r="G456" s="35"/>
      <c r="H456" s="35"/>
      <c r="I456" s="34"/>
      <c r="J456" s="35"/>
      <c r="K456" s="35"/>
      <c r="L456" s="39" t="str">
        <f aca="false">IF(A456="","",IF(I456&lt;&gt;"","Vendu","En stock"))</f>
        <v/>
      </c>
      <c r="M456" s="17" t="str">
        <f aca="false">IF(J456="","",J456-F456-G456-K456)</f>
        <v/>
      </c>
      <c r="N456" s="40" t="str">
        <f aca="false">IF(OR(J456="",J456=0),"",M456/J456)</f>
        <v/>
      </c>
      <c r="O456" s="41" t="str">
        <f aca="true">IF(D456="","",IF(I456&lt;&gt;"",I456,TODAY())-D456)</f>
        <v/>
      </c>
    </row>
    <row r="457" customFormat="false" ht="15" hidden="false" customHeight="false" outlineLevel="0" collapsed="false">
      <c r="A457" s="9"/>
      <c r="B457" s="9"/>
      <c r="C457" s="9"/>
      <c r="D457" s="34"/>
      <c r="E457" s="9"/>
      <c r="F457" s="35"/>
      <c r="G457" s="35"/>
      <c r="H457" s="35"/>
      <c r="I457" s="34"/>
      <c r="J457" s="35"/>
      <c r="K457" s="35"/>
      <c r="L457" s="39" t="str">
        <f aca="false">IF(A457="","",IF(I457&lt;&gt;"","Vendu","En stock"))</f>
        <v/>
      </c>
      <c r="M457" s="17" t="str">
        <f aca="false">IF(J457="","",J457-F457-G457-K457)</f>
        <v/>
      </c>
      <c r="N457" s="40" t="str">
        <f aca="false">IF(OR(J457="",J457=0),"",M457/J457)</f>
        <v/>
      </c>
      <c r="O457" s="41" t="str">
        <f aca="true">IF(D457="","",IF(I457&lt;&gt;"",I457,TODAY())-D457)</f>
        <v/>
      </c>
    </row>
    <row r="458" customFormat="false" ht="15" hidden="false" customHeight="false" outlineLevel="0" collapsed="false">
      <c r="A458" s="9"/>
      <c r="B458" s="9"/>
      <c r="C458" s="9"/>
      <c r="D458" s="34"/>
      <c r="E458" s="9"/>
      <c r="F458" s="35"/>
      <c r="G458" s="35"/>
      <c r="H458" s="35"/>
      <c r="I458" s="34"/>
      <c r="J458" s="35"/>
      <c r="K458" s="35"/>
      <c r="L458" s="39" t="str">
        <f aca="false">IF(A458="","",IF(I458&lt;&gt;"","Vendu","En stock"))</f>
        <v/>
      </c>
      <c r="M458" s="17" t="str">
        <f aca="false">IF(J458="","",J458-F458-G458-K458)</f>
        <v/>
      </c>
      <c r="N458" s="40" t="str">
        <f aca="false">IF(OR(J458="",J458=0),"",M458/J458)</f>
        <v/>
      </c>
      <c r="O458" s="41" t="str">
        <f aca="true">IF(D458="","",IF(I458&lt;&gt;"",I458,TODAY())-D458)</f>
        <v/>
      </c>
    </row>
    <row r="459" customFormat="false" ht="15" hidden="false" customHeight="false" outlineLevel="0" collapsed="false">
      <c r="A459" s="9"/>
      <c r="B459" s="9"/>
      <c r="C459" s="9"/>
      <c r="D459" s="34"/>
      <c r="E459" s="9"/>
      <c r="F459" s="35"/>
      <c r="G459" s="35"/>
      <c r="H459" s="35"/>
      <c r="I459" s="34"/>
      <c r="J459" s="35"/>
      <c r="K459" s="35"/>
      <c r="L459" s="39" t="str">
        <f aca="false">IF(A459="","",IF(I459&lt;&gt;"","Vendu","En stock"))</f>
        <v/>
      </c>
      <c r="M459" s="17" t="str">
        <f aca="false">IF(J459="","",J459-F459-G459-K459)</f>
        <v/>
      </c>
      <c r="N459" s="40" t="str">
        <f aca="false">IF(OR(J459="",J459=0),"",M459/J459)</f>
        <v/>
      </c>
      <c r="O459" s="41" t="str">
        <f aca="true">IF(D459="","",IF(I459&lt;&gt;"",I459,TODAY())-D459)</f>
        <v/>
      </c>
    </row>
    <row r="460" customFormat="false" ht="15" hidden="false" customHeight="false" outlineLevel="0" collapsed="false">
      <c r="A460" s="9"/>
      <c r="B460" s="9"/>
      <c r="C460" s="9"/>
      <c r="D460" s="34"/>
      <c r="E460" s="9"/>
      <c r="F460" s="35"/>
      <c r="G460" s="35"/>
      <c r="H460" s="35"/>
      <c r="I460" s="34"/>
      <c r="J460" s="35"/>
      <c r="K460" s="35"/>
      <c r="L460" s="39" t="str">
        <f aca="false">IF(A460="","",IF(I460&lt;&gt;"","Vendu","En stock"))</f>
        <v/>
      </c>
      <c r="M460" s="17" t="str">
        <f aca="false">IF(J460="","",J460-F460-G460-K460)</f>
        <v/>
      </c>
      <c r="N460" s="40" t="str">
        <f aca="false">IF(OR(J460="",J460=0),"",M460/J460)</f>
        <v/>
      </c>
      <c r="O460" s="41" t="str">
        <f aca="true">IF(D460="","",IF(I460&lt;&gt;"",I460,TODAY())-D460)</f>
        <v/>
      </c>
    </row>
    <row r="461" customFormat="false" ht="15" hidden="false" customHeight="false" outlineLevel="0" collapsed="false">
      <c r="A461" s="9"/>
      <c r="B461" s="9"/>
      <c r="C461" s="9"/>
      <c r="D461" s="34"/>
      <c r="E461" s="9"/>
      <c r="F461" s="35"/>
      <c r="G461" s="35"/>
      <c r="H461" s="35"/>
      <c r="I461" s="34"/>
      <c r="J461" s="35"/>
      <c r="K461" s="35"/>
      <c r="L461" s="39" t="str">
        <f aca="false">IF(A461="","",IF(I461&lt;&gt;"","Vendu","En stock"))</f>
        <v/>
      </c>
      <c r="M461" s="17" t="str">
        <f aca="false">IF(J461="","",J461-F461-G461-K461)</f>
        <v/>
      </c>
      <c r="N461" s="40" t="str">
        <f aca="false">IF(OR(J461="",J461=0),"",M461/J461)</f>
        <v/>
      </c>
      <c r="O461" s="41" t="str">
        <f aca="true">IF(D461="","",IF(I461&lt;&gt;"",I461,TODAY())-D461)</f>
        <v/>
      </c>
    </row>
    <row r="462" customFormat="false" ht="15" hidden="false" customHeight="false" outlineLevel="0" collapsed="false">
      <c r="A462" s="9"/>
      <c r="B462" s="9"/>
      <c r="C462" s="9"/>
      <c r="D462" s="34"/>
      <c r="E462" s="9"/>
      <c r="F462" s="35"/>
      <c r="G462" s="35"/>
      <c r="H462" s="35"/>
      <c r="I462" s="34"/>
      <c r="J462" s="35"/>
      <c r="K462" s="35"/>
      <c r="L462" s="39" t="str">
        <f aca="false">IF(A462="","",IF(I462&lt;&gt;"","Vendu","En stock"))</f>
        <v/>
      </c>
      <c r="M462" s="17" t="str">
        <f aca="false">IF(J462="","",J462-F462-G462-K462)</f>
        <v/>
      </c>
      <c r="N462" s="40" t="str">
        <f aca="false">IF(OR(J462="",J462=0),"",M462/J462)</f>
        <v/>
      </c>
      <c r="O462" s="41" t="str">
        <f aca="true">IF(D462="","",IF(I462&lt;&gt;"",I462,TODAY())-D462)</f>
        <v/>
      </c>
    </row>
    <row r="463" customFormat="false" ht="15" hidden="false" customHeight="false" outlineLevel="0" collapsed="false">
      <c r="A463" s="9"/>
      <c r="B463" s="9"/>
      <c r="C463" s="9"/>
      <c r="D463" s="34"/>
      <c r="E463" s="9"/>
      <c r="F463" s="35"/>
      <c r="G463" s="35"/>
      <c r="H463" s="35"/>
      <c r="I463" s="34"/>
      <c r="J463" s="35"/>
      <c r="K463" s="35"/>
      <c r="L463" s="39" t="str">
        <f aca="false">IF(A463="","",IF(I463&lt;&gt;"","Vendu","En stock"))</f>
        <v/>
      </c>
      <c r="M463" s="17" t="str">
        <f aca="false">IF(J463="","",J463-F463-G463-K463)</f>
        <v/>
      </c>
      <c r="N463" s="40" t="str">
        <f aca="false">IF(OR(J463="",J463=0),"",M463/J463)</f>
        <v/>
      </c>
      <c r="O463" s="41" t="str">
        <f aca="true">IF(D463="","",IF(I463&lt;&gt;"",I463,TODAY())-D463)</f>
        <v/>
      </c>
    </row>
    <row r="464" customFormat="false" ht="15" hidden="false" customHeight="false" outlineLevel="0" collapsed="false">
      <c r="A464" s="9"/>
      <c r="B464" s="9"/>
      <c r="C464" s="9"/>
      <c r="D464" s="34"/>
      <c r="E464" s="9"/>
      <c r="F464" s="35"/>
      <c r="G464" s="35"/>
      <c r="H464" s="35"/>
      <c r="I464" s="34"/>
      <c r="J464" s="35"/>
      <c r="K464" s="35"/>
      <c r="L464" s="39" t="str">
        <f aca="false">IF(A464="","",IF(I464&lt;&gt;"","Vendu","En stock"))</f>
        <v/>
      </c>
      <c r="M464" s="17" t="str">
        <f aca="false">IF(J464="","",J464-F464-G464-K464)</f>
        <v/>
      </c>
      <c r="N464" s="40" t="str">
        <f aca="false">IF(OR(J464="",J464=0),"",M464/J464)</f>
        <v/>
      </c>
      <c r="O464" s="41" t="str">
        <f aca="true">IF(D464="","",IF(I464&lt;&gt;"",I464,TODAY())-D464)</f>
        <v/>
      </c>
    </row>
    <row r="465" customFormat="false" ht="15" hidden="false" customHeight="false" outlineLevel="0" collapsed="false">
      <c r="A465" s="9"/>
      <c r="B465" s="9"/>
      <c r="C465" s="9"/>
      <c r="D465" s="34"/>
      <c r="E465" s="9"/>
      <c r="F465" s="35"/>
      <c r="G465" s="35"/>
      <c r="H465" s="35"/>
      <c r="I465" s="34"/>
      <c r="J465" s="35"/>
      <c r="K465" s="35"/>
      <c r="L465" s="39" t="str">
        <f aca="false">IF(A465="","",IF(I465&lt;&gt;"","Vendu","En stock"))</f>
        <v/>
      </c>
      <c r="M465" s="17" t="str">
        <f aca="false">IF(J465="","",J465-F465-G465-K465)</f>
        <v/>
      </c>
      <c r="N465" s="40" t="str">
        <f aca="false">IF(OR(J465="",J465=0),"",M465/J465)</f>
        <v/>
      </c>
      <c r="O465" s="41" t="str">
        <f aca="true">IF(D465="","",IF(I465&lt;&gt;"",I465,TODAY())-D465)</f>
        <v/>
      </c>
    </row>
    <row r="466" customFormat="false" ht="15" hidden="false" customHeight="false" outlineLevel="0" collapsed="false">
      <c r="A466" s="9"/>
      <c r="B466" s="9"/>
      <c r="C466" s="9"/>
      <c r="D466" s="34"/>
      <c r="E466" s="9"/>
      <c r="F466" s="35"/>
      <c r="G466" s="35"/>
      <c r="H466" s="35"/>
      <c r="I466" s="34"/>
      <c r="J466" s="35"/>
      <c r="K466" s="35"/>
      <c r="L466" s="39" t="str">
        <f aca="false">IF(A466="","",IF(I466&lt;&gt;"","Vendu","En stock"))</f>
        <v/>
      </c>
      <c r="M466" s="17" t="str">
        <f aca="false">IF(J466="","",J466-F466-G466-K466)</f>
        <v/>
      </c>
      <c r="N466" s="40" t="str">
        <f aca="false">IF(OR(J466="",J466=0),"",M466/J466)</f>
        <v/>
      </c>
      <c r="O466" s="41" t="str">
        <f aca="true">IF(D466="","",IF(I466&lt;&gt;"",I466,TODAY())-D466)</f>
        <v/>
      </c>
    </row>
    <row r="467" customFormat="false" ht="15" hidden="false" customHeight="false" outlineLevel="0" collapsed="false">
      <c r="A467" s="9"/>
      <c r="B467" s="9"/>
      <c r="C467" s="9"/>
      <c r="D467" s="34"/>
      <c r="E467" s="9"/>
      <c r="F467" s="35"/>
      <c r="G467" s="35"/>
      <c r="H467" s="35"/>
      <c r="I467" s="34"/>
      <c r="J467" s="35"/>
      <c r="K467" s="35"/>
      <c r="L467" s="39" t="str">
        <f aca="false">IF(A467="","",IF(I467&lt;&gt;"","Vendu","En stock"))</f>
        <v/>
      </c>
      <c r="M467" s="17" t="str">
        <f aca="false">IF(J467="","",J467-F467-G467-K467)</f>
        <v/>
      </c>
      <c r="N467" s="40" t="str">
        <f aca="false">IF(OR(J467="",J467=0),"",M467/J467)</f>
        <v/>
      </c>
      <c r="O467" s="41" t="str">
        <f aca="true">IF(D467="","",IF(I467&lt;&gt;"",I467,TODAY())-D467)</f>
        <v/>
      </c>
    </row>
    <row r="468" customFormat="false" ht="15" hidden="false" customHeight="false" outlineLevel="0" collapsed="false">
      <c r="A468" s="9"/>
      <c r="B468" s="9"/>
      <c r="C468" s="9"/>
      <c r="D468" s="34"/>
      <c r="E468" s="9"/>
      <c r="F468" s="35"/>
      <c r="G468" s="35"/>
      <c r="H468" s="35"/>
      <c r="I468" s="34"/>
      <c r="J468" s="35"/>
      <c r="K468" s="35"/>
      <c r="L468" s="39" t="str">
        <f aca="false">IF(A468="","",IF(I468&lt;&gt;"","Vendu","En stock"))</f>
        <v/>
      </c>
      <c r="M468" s="17" t="str">
        <f aca="false">IF(J468="","",J468-F468-G468-K468)</f>
        <v/>
      </c>
      <c r="N468" s="40" t="str">
        <f aca="false">IF(OR(J468="",J468=0),"",M468/J468)</f>
        <v/>
      </c>
      <c r="O468" s="41" t="str">
        <f aca="true">IF(D468="","",IF(I468&lt;&gt;"",I468,TODAY())-D468)</f>
        <v/>
      </c>
    </row>
    <row r="469" customFormat="false" ht="15" hidden="false" customHeight="false" outlineLevel="0" collapsed="false">
      <c r="A469" s="9"/>
      <c r="B469" s="9"/>
      <c r="C469" s="9"/>
      <c r="D469" s="34"/>
      <c r="E469" s="9"/>
      <c r="F469" s="35"/>
      <c r="G469" s="35"/>
      <c r="H469" s="35"/>
      <c r="I469" s="34"/>
      <c r="J469" s="35"/>
      <c r="K469" s="35"/>
      <c r="L469" s="39" t="str">
        <f aca="false">IF(A469="","",IF(I469&lt;&gt;"","Vendu","En stock"))</f>
        <v/>
      </c>
      <c r="M469" s="17" t="str">
        <f aca="false">IF(J469="","",J469-F469-G469-K469)</f>
        <v/>
      </c>
      <c r="N469" s="40" t="str">
        <f aca="false">IF(OR(J469="",J469=0),"",M469/J469)</f>
        <v/>
      </c>
      <c r="O469" s="41" t="str">
        <f aca="true">IF(D469="","",IF(I469&lt;&gt;"",I469,TODAY())-D469)</f>
        <v/>
      </c>
    </row>
    <row r="470" customFormat="false" ht="15" hidden="false" customHeight="false" outlineLevel="0" collapsed="false">
      <c r="A470" s="9"/>
      <c r="B470" s="9"/>
      <c r="C470" s="9"/>
      <c r="D470" s="34"/>
      <c r="E470" s="9"/>
      <c r="F470" s="35"/>
      <c r="G470" s="35"/>
      <c r="H470" s="35"/>
      <c r="I470" s="34"/>
      <c r="J470" s="35"/>
      <c r="K470" s="35"/>
      <c r="L470" s="39" t="str">
        <f aca="false">IF(A470="","",IF(I470&lt;&gt;"","Vendu","En stock"))</f>
        <v/>
      </c>
      <c r="M470" s="17" t="str">
        <f aca="false">IF(J470="","",J470-F470-G470-K470)</f>
        <v/>
      </c>
      <c r="N470" s="40" t="str">
        <f aca="false">IF(OR(J470="",J470=0),"",M470/J470)</f>
        <v/>
      </c>
      <c r="O470" s="41" t="str">
        <f aca="true">IF(D470="","",IF(I470&lt;&gt;"",I470,TODAY())-D470)</f>
        <v/>
      </c>
    </row>
    <row r="471" customFormat="false" ht="15" hidden="false" customHeight="false" outlineLevel="0" collapsed="false">
      <c r="A471" s="9"/>
      <c r="B471" s="9"/>
      <c r="C471" s="9"/>
      <c r="D471" s="34"/>
      <c r="E471" s="9"/>
      <c r="F471" s="35"/>
      <c r="G471" s="35"/>
      <c r="H471" s="35"/>
      <c r="I471" s="34"/>
      <c r="J471" s="35"/>
      <c r="K471" s="35"/>
      <c r="L471" s="39" t="str">
        <f aca="false">IF(A471="","",IF(I471&lt;&gt;"","Vendu","En stock"))</f>
        <v/>
      </c>
      <c r="M471" s="17" t="str">
        <f aca="false">IF(J471="","",J471-F471-G471-K471)</f>
        <v/>
      </c>
      <c r="N471" s="40" t="str">
        <f aca="false">IF(OR(J471="",J471=0),"",M471/J471)</f>
        <v/>
      </c>
      <c r="O471" s="41" t="str">
        <f aca="true">IF(D471="","",IF(I471&lt;&gt;"",I471,TODAY())-D471)</f>
        <v/>
      </c>
    </row>
    <row r="472" customFormat="false" ht="15" hidden="false" customHeight="false" outlineLevel="0" collapsed="false">
      <c r="A472" s="9"/>
      <c r="B472" s="9"/>
      <c r="C472" s="9"/>
      <c r="D472" s="34"/>
      <c r="E472" s="9"/>
      <c r="F472" s="35"/>
      <c r="G472" s="35"/>
      <c r="H472" s="35"/>
      <c r="I472" s="34"/>
      <c r="J472" s="35"/>
      <c r="K472" s="35"/>
      <c r="L472" s="39" t="str">
        <f aca="false">IF(A472="","",IF(I472&lt;&gt;"","Vendu","En stock"))</f>
        <v/>
      </c>
      <c r="M472" s="17" t="str">
        <f aca="false">IF(J472="","",J472-F472-G472-K472)</f>
        <v/>
      </c>
      <c r="N472" s="40" t="str">
        <f aca="false">IF(OR(J472="",J472=0),"",M472/J472)</f>
        <v/>
      </c>
      <c r="O472" s="41" t="str">
        <f aca="true">IF(D472="","",IF(I472&lt;&gt;"",I472,TODAY())-D472)</f>
        <v/>
      </c>
    </row>
    <row r="473" customFormat="false" ht="15" hidden="false" customHeight="false" outlineLevel="0" collapsed="false">
      <c r="A473" s="9"/>
      <c r="B473" s="9"/>
      <c r="C473" s="9"/>
      <c r="D473" s="34"/>
      <c r="E473" s="9"/>
      <c r="F473" s="35"/>
      <c r="G473" s="35"/>
      <c r="H473" s="35"/>
      <c r="I473" s="34"/>
      <c r="J473" s="35"/>
      <c r="K473" s="35"/>
      <c r="L473" s="39" t="str">
        <f aca="false">IF(A473="","",IF(I473&lt;&gt;"","Vendu","En stock"))</f>
        <v/>
      </c>
      <c r="M473" s="17" t="str">
        <f aca="false">IF(J473="","",J473-F473-G473-K473)</f>
        <v/>
      </c>
      <c r="N473" s="40" t="str">
        <f aca="false">IF(OR(J473="",J473=0),"",M473/J473)</f>
        <v/>
      </c>
      <c r="O473" s="41" t="str">
        <f aca="true">IF(D473="","",IF(I473&lt;&gt;"",I473,TODAY())-D473)</f>
        <v/>
      </c>
    </row>
    <row r="474" customFormat="false" ht="15" hidden="false" customHeight="false" outlineLevel="0" collapsed="false">
      <c r="A474" s="9"/>
      <c r="B474" s="9"/>
      <c r="C474" s="9"/>
      <c r="D474" s="34"/>
      <c r="E474" s="9"/>
      <c r="F474" s="35"/>
      <c r="G474" s="35"/>
      <c r="H474" s="35"/>
      <c r="I474" s="34"/>
      <c r="J474" s="35"/>
      <c r="K474" s="35"/>
      <c r="L474" s="39" t="str">
        <f aca="false">IF(A474="","",IF(I474&lt;&gt;"","Vendu","En stock"))</f>
        <v/>
      </c>
      <c r="M474" s="17" t="str">
        <f aca="false">IF(J474="","",J474-F474-G474-K474)</f>
        <v/>
      </c>
      <c r="N474" s="40" t="str">
        <f aca="false">IF(OR(J474="",J474=0),"",M474/J474)</f>
        <v/>
      </c>
      <c r="O474" s="41" t="str">
        <f aca="true">IF(D474="","",IF(I474&lt;&gt;"",I474,TODAY())-D474)</f>
        <v/>
      </c>
    </row>
    <row r="475" customFormat="false" ht="15" hidden="false" customHeight="false" outlineLevel="0" collapsed="false">
      <c r="A475" s="9"/>
      <c r="B475" s="9"/>
      <c r="C475" s="9"/>
      <c r="D475" s="34"/>
      <c r="E475" s="9"/>
      <c r="F475" s="35"/>
      <c r="G475" s="35"/>
      <c r="H475" s="35"/>
      <c r="I475" s="34"/>
      <c r="J475" s="35"/>
      <c r="K475" s="35"/>
      <c r="L475" s="39" t="str">
        <f aca="false">IF(A475="","",IF(I475&lt;&gt;"","Vendu","En stock"))</f>
        <v/>
      </c>
      <c r="M475" s="17" t="str">
        <f aca="false">IF(J475="","",J475-F475-G475-K475)</f>
        <v/>
      </c>
      <c r="N475" s="40" t="str">
        <f aca="false">IF(OR(J475="",J475=0),"",M475/J475)</f>
        <v/>
      </c>
      <c r="O475" s="41" t="str">
        <f aca="true">IF(D475="","",IF(I475&lt;&gt;"",I475,TODAY())-D475)</f>
        <v/>
      </c>
    </row>
    <row r="476" customFormat="false" ht="15" hidden="false" customHeight="false" outlineLevel="0" collapsed="false">
      <c r="A476" s="9"/>
      <c r="B476" s="9"/>
      <c r="C476" s="9"/>
      <c r="D476" s="34"/>
      <c r="E476" s="9"/>
      <c r="F476" s="35"/>
      <c r="G476" s="35"/>
      <c r="H476" s="35"/>
      <c r="I476" s="34"/>
      <c r="J476" s="35"/>
      <c r="K476" s="35"/>
      <c r="L476" s="39" t="str">
        <f aca="false">IF(A476="","",IF(I476&lt;&gt;"","Vendu","En stock"))</f>
        <v/>
      </c>
      <c r="M476" s="17" t="str">
        <f aca="false">IF(J476="","",J476-F476-G476-K476)</f>
        <v/>
      </c>
      <c r="N476" s="40" t="str">
        <f aca="false">IF(OR(J476="",J476=0),"",M476/J476)</f>
        <v/>
      </c>
      <c r="O476" s="41" t="str">
        <f aca="true">IF(D476="","",IF(I476&lt;&gt;"",I476,TODAY())-D476)</f>
        <v/>
      </c>
    </row>
    <row r="477" customFormat="false" ht="15" hidden="false" customHeight="false" outlineLevel="0" collapsed="false">
      <c r="A477" s="9"/>
      <c r="B477" s="9"/>
      <c r="C477" s="9"/>
      <c r="D477" s="34"/>
      <c r="E477" s="9"/>
      <c r="F477" s="35"/>
      <c r="G477" s="35"/>
      <c r="H477" s="35"/>
      <c r="I477" s="34"/>
      <c r="J477" s="35"/>
      <c r="K477" s="35"/>
      <c r="L477" s="39" t="str">
        <f aca="false">IF(A477="","",IF(I477&lt;&gt;"","Vendu","En stock"))</f>
        <v/>
      </c>
      <c r="M477" s="17" t="str">
        <f aca="false">IF(J477="","",J477-F477-G477-K477)</f>
        <v/>
      </c>
      <c r="N477" s="40" t="str">
        <f aca="false">IF(OR(J477="",J477=0),"",M477/J477)</f>
        <v/>
      </c>
      <c r="O477" s="41" t="str">
        <f aca="true">IF(D477="","",IF(I477&lt;&gt;"",I477,TODAY())-D477)</f>
        <v/>
      </c>
    </row>
    <row r="478" customFormat="false" ht="15" hidden="false" customHeight="false" outlineLevel="0" collapsed="false">
      <c r="A478" s="9"/>
      <c r="B478" s="9"/>
      <c r="C478" s="9"/>
      <c r="D478" s="34"/>
      <c r="E478" s="9"/>
      <c r="F478" s="35"/>
      <c r="G478" s="35"/>
      <c r="H478" s="35"/>
      <c r="I478" s="34"/>
      <c r="J478" s="35"/>
      <c r="K478" s="35"/>
      <c r="L478" s="39" t="str">
        <f aca="false">IF(A478="","",IF(I478&lt;&gt;"","Vendu","En stock"))</f>
        <v/>
      </c>
      <c r="M478" s="17" t="str">
        <f aca="false">IF(J478="","",J478-F478-G478-K478)</f>
        <v/>
      </c>
      <c r="N478" s="40" t="str">
        <f aca="false">IF(OR(J478="",J478=0),"",M478/J478)</f>
        <v/>
      </c>
      <c r="O478" s="41" t="str">
        <f aca="true">IF(D478="","",IF(I478&lt;&gt;"",I478,TODAY())-D478)</f>
        <v/>
      </c>
    </row>
    <row r="479" customFormat="false" ht="15" hidden="false" customHeight="false" outlineLevel="0" collapsed="false">
      <c r="A479" s="9"/>
      <c r="B479" s="9"/>
      <c r="C479" s="9"/>
      <c r="D479" s="34"/>
      <c r="E479" s="9"/>
      <c r="F479" s="35"/>
      <c r="G479" s="35"/>
      <c r="H479" s="35"/>
      <c r="I479" s="34"/>
      <c r="J479" s="35"/>
      <c r="K479" s="35"/>
      <c r="L479" s="39" t="str">
        <f aca="false">IF(A479="","",IF(I479&lt;&gt;"","Vendu","En stock"))</f>
        <v/>
      </c>
      <c r="M479" s="17" t="str">
        <f aca="false">IF(J479="","",J479-F479-G479-K479)</f>
        <v/>
      </c>
      <c r="N479" s="40" t="str">
        <f aca="false">IF(OR(J479="",J479=0),"",M479/J479)</f>
        <v/>
      </c>
      <c r="O479" s="41" t="str">
        <f aca="true">IF(D479="","",IF(I479&lt;&gt;"",I479,TODAY())-D479)</f>
        <v/>
      </c>
    </row>
    <row r="480" customFormat="false" ht="15" hidden="false" customHeight="false" outlineLevel="0" collapsed="false">
      <c r="A480" s="9"/>
      <c r="B480" s="9"/>
      <c r="C480" s="9"/>
      <c r="D480" s="34"/>
      <c r="E480" s="9"/>
      <c r="F480" s="35"/>
      <c r="G480" s="35"/>
      <c r="H480" s="35"/>
      <c r="I480" s="34"/>
      <c r="J480" s="35"/>
      <c r="K480" s="35"/>
      <c r="L480" s="39" t="str">
        <f aca="false">IF(A480="","",IF(I480&lt;&gt;"","Vendu","En stock"))</f>
        <v/>
      </c>
      <c r="M480" s="17" t="str">
        <f aca="false">IF(J480="","",J480-F480-G480-K480)</f>
        <v/>
      </c>
      <c r="N480" s="40" t="str">
        <f aca="false">IF(OR(J480="",J480=0),"",M480/J480)</f>
        <v/>
      </c>
      <c r="O480" s="41" t="str">
        <f aca="true">IF(D480="","",IF(I480&lt;&gt;"",I480,TODAY())-D480)</f>
        <v/>
      </c>
    </row>
    <row r="481" customFormat="false" ht="15" hidden="false" customHeight="false" outlineLevel="0" collapsed="false">
      <c r="A481" s="9"/>
      <c r="B481" s="9"/>
      <c r="C481" s="9"/>
      <c r="D481" s="34"/>
      <c r="E481" s="9"/>
      <c r="F481" s="35"/>
      <c r="G481" s="35"/>
      <c r="H481" s="35"/>
      <c r="I481" s="34"/>
      <c r="J481" s="35"/>
      <c r="K481" s="35"/>
      <c r="L481" s="39" t="str">
        <f aca="false">IF(A481="","",IF(I481&lt;&gt;"","Vendu","En stock"))</f>
        <v/>
      </c>
      <c r="M481" s="17" t="str">
        <f aca="false">IF(J481="","",J481-F481-G481-K481)</f>
        <v/>
      </c>
      <c r="N481" s="40" t="str">
        <f aca="false">IF(OR(J481="",J481=0),"",M481/J481)</f>
        <v/>
      </c>
      <c r="O481" s="41" t="str">
        <f aca="true">IF(D481="","",IF(I481&lt;&gt;"",I481,TODAY())-D481)</f>
        <v/>
      </c>
    </row>
    <row r="482" customFormat="false" ht="15" hidden="false" customHeight="false" outlineLevel="0" collapsed="false">
      <c r="A482" s="9"/>
      <c r="B482" s="9"/>
      <c r="C482" s="9"/>
      <c r="D482" s="34"/>
      <c r="E482" s="9"/>
      <c r="F482" s="35"/>
      <c r="G482" s="35"/>
      <c r="H482" s="35"/>
      <c r="I482" s="34"/>
      <c r="J482" s="35"/>
      <c r="K482" s="35"/>
      <c r="L482" s="39" t="str">
        <f aca="false">IF(A482="","",IF(I482&lt;&gt;"","Vendu","En stock"))</f>
        <v/>
      </c>
      <c r="M482" s="17" t="str">
        <f aca="false">IF(J482="","",J482-F482-G482-K482)</f>
        <v/>
      </c>
      <c r="N482" s="40" t="str">
        <f aca="false">IF(OR(J482="",J482=0),"",M482/J482)</f>
        <v/>
      </c>
      <c r="O482" s="41" t="str">
        <f aca="true">IF(D482="","",IF(I482&lt;&gt;"",I482,TODAY())-D482)</f>
        <v/>
      </c>
    </row>
    <row r="483" customFormat="false" ht="15" hidden="false" customHeight="false" outlineLevel="0" collapsed="false">
      <c r="A483" s="9"/>
      <c r="B483" s="9"/>
      <c r="C483" s="9"/>
      <c r="D483" s="34"/>
      <c r="E483" s="9"/>
      <c r="F483" s="35"/>
      <c r="G483" s="35"/>
      <c r="H483" s="35"/>
      <c r="I483" s="34"/>
      <c r="J483" s="35"/>
      <c r="K483" s="35"/>
      <c r="L483" s="39" t="str">
        <f aca="false">IF(A483="","",IF(I483&lt;&gt;"","Vendu","En stock"))</f>
        <v/>
      </c>
      <c r="M483" s="17" t="str">
        <f aca="false">IF(J483="","",J483-F483-G483-K483)</f>
        <v/>
      </c>
      <c r="N483" s="40" t="str">
        <f aca="false">IF(OR(J483="",J483=0),"",M483/J483)</f>
        <v/>
      </c>
      <c r="O483" s="41" t="str">
        <f aca="true">IF(D483="","",IF(I483&lt;&gt;"",I483,TODAY())-D483)</f>
        <v/>
      </c>
    </row>
    <row r="484" customFormat="false" ht="15" hidden="false" customHeight="false" outlineLevel="0" collapsed="false">
      <c r="A484" s="9"/>
      <c r="B484" s="9"/>
      <c r="C484" s="9"/>
      <c r="D484" s="34"/>
      <c r="E484" s="9"/>
      <c r="F484" s="35"/>
      <c r="G484" s="35"/>
      <c r="H484" s="35"/>
      <c r="I484" s="34"/>
      <c r="J484" s="35"/>
      <c r="K484" s="35"/>
      <c r="L484" s="39" t="str">
        <f aca="false">IF(A484="","",IF(I484&lt;&gt;"","Vendu","En stock"))</f>
        <v/>
      </c>
      <c r="M484" s="17" t="str">
        <f aca="false">IF(J484="","",J484-F484-G484-K484)</f>
        <v/>
      </c>
      <c r="N484" s="40" t="str">
        <f aca="false">IF(OR(J484="",J484=0),"",M484/J484)</f>
        <v/>
      </c>
      <c r="O484" s="41" t="str">
        <f aca="true">IF(D484="","",IF(I484&lt;&gt;"",I484,TODAY())-D484)</f>
        <v/>
      </c>
    </row>
    <row r="485" customFormat="false" ht="15" hidden="false" customHeight="false" outlineLevel="0" collapsed="false">
      <c r="A485" s="9"/>
      <c r="B485" s="9"/>
      <c r="C485" s="9"/>
      <c r="D485" s="34"/>
      <c r="E485" s="9"/>
      <c r="F485" s="35"/>
      <c r="G485" s="35"/>
      <c r="H485" s="35"/>
      <c r="I485" s="34"/>
      <c r="J485" s="35"/>
      <c r="K485" s="35"/>
      <c r="L485" s="39" t="str">
        <f aca="false">IF(A485="","",IF(I485&lt;&gt;"","Vendu","En stock"))</f>
        <v/>
      </c>
      <c r="M485" s="17" t="str">
        <f aca="false">IF(J485="","",J485-F485-G485-K485)</f>
        <v/>
      </c>
      <c r="N485" s="40" t="str">
        <f aca="false">IF(OR(J485="",J485=0),"",M485/J485)</f>
        <v/>
      </c>
      <c r="O485" s="41" t="str">
        <f aca="true">IF(D485="","",IF(I485&lt;&gt;"",I485,TODAY())-D485)</f>
        <v/>
      </c>
    </row>
    <row r="486" customFormat="false" ht="15" hidden="false" customHeight="false" outlineLevel="0" collapsed="false">
      <c r="A486" s="9"/>
      <c r="B486" s="9"/>
      <c r="C486" s="9"/>
      <c r="D486" s="34"/>
      <c r="E486" s="9"/>
      <c r="F486" s="35"/>
      <c r="G486" s="35"/>
      <c r="H486" s="35"/>
      <c r="I486" s="34"/>
      <c r="J486" s="35"/>
      <c r="K486" s="35"/>
      <c r="L486" s="39" t="str">
        <f aca="false">IF(A486="","",IF(I486&lt;&gt;"","Vendu","En stock"))</f>
        <v/>
      </c>
      <c r="M486" s="17" t="str">
        <f aca="false">IF(J486="","",J486-F486-G486-K486)</f>
        <v/>
      </c>
      <c r="N486" s="40" t="str">
        <f aca="false">IF(OR(J486="",J486=0),"",M486/J486)</f>
        <v/>
      </c>
      <c r="O486" s="41" t="str">
        <f aca="true">IF(D486="","",IF(I486&lt;&gt;"",I486,TODAY())-D486)</f>
        <v/>
      </c>
    </row>
    <row r="487" customFormat="false" ht="15" hidden="false" customHeight="false" outlineLevel="0" collapsed="false">
      <c r="A487" s="9"/>
      <c r="B487" s="9"/>
      <c r="C487" s="9"/>
      <c r="D487" s="34"/>
      <c r="E487" s="9"/>
      <c r="F487" s="35"/>
      <c r="G487" s="35"/>
      <c r="H487" s="35"/>
      <c r="I487" s="34"/>
      <c r="J487" s="35"/>
      <c r="K487" s="35"/>
      <c r="L487" s="39" t="str">
        <f aca="false">IF(A487="","",IF(I487&lt;&gt;"","Vendu","En stock"))</f>
        <v/>
      </c>
      <c r="M487" s="17" t="str">
        <f aca="false">IF(J487="","",J487-F487-G487-K487)</f>
        <v/>
      </c>
      <c r="N487" s="40" t="str">
        <f aca="false">IF(OR(J487="",J487=0),"",M487/J487)</f>
        <v/>
      </c>
      <c r="O487" s="41" t="str">
        <f aca="true">IF(D487="","",IF(I487&lt;&gt;"",I487,TODAY())-D487)</f>
        <v/>
      </c>
    </row>
    <row r="488" customFormat="false" ht="15" hidden="false" customHeight="false" outlineLevel="0" collapsed="false">
      <c r="A488" s="9"/>
      <c r="B488" s="9"/>
      <c r="C488" s="9"/>
      <c r="D488" s="34"/>
      <c r="E488" s="9"/>
      <c r="F488" s="35"/>
      <c r="G488" s="35"/>
      <c r="H488" s="35"/>
      <c r="I488" s="34"/>
      <c r="J488" s="35"/>
      <c r="K488" s="35"/>
      <c r="L488" s="39" t="str">
        <f aca="false">IF(A488="","",IF(I488&lt;&gt;"","Vendu","En stock"))</f>
        <v/>
      </c>
      <c r="M488" s="17" t="str">
        <f aca="false">IF(J488="","",J488-F488-G488-K488)</f>
        <v/>
      </c>
      <c r="N488" s="40" t="str">
        <f aca="false">IF(OR(J488="",J488=0),"",M488/J488)</f>
        <v/>
      </c>
      <c r="O488" s="41" t="str">
        <f aca="true">IF(D488="","",IF(I488&lt;&gt;"",I488,TODAY())-D488)</f>
        <v/>
      </c>
    </row>
    <row r="489" customFormat="false" ht="15" hidden="false" customHeight="false" outlineLevel="0" collapsed="false">
      <c r="A489" s="9"/>
      <c r="B489" s="9"/>
      <c r="C489" s="9"/>
      <c r="D489" s="34"/>
      <c r="E489" s="9"/>
      <c r="F489" s="35"/>
      <c r="G489" s="35"/>
      <c r="H489" s="35"/>
      <c r="I489" s="34"/>
      <c r="J489" s="35"/>
      <c r="K489" s="35"/>
      <c r="L489" s="39" t="str">
        <f aca="false">IF(A489="","",IF(I489&lt;&gt;"","Vendu","En stock"))</f>
        <v/>
      </c>
      <c r="M489" s="17" t="str">
        <f aca="false">IF(J489="","",J489-F489-G489-K489)</f>
        <v/>
      </c>
      <c r="N489" s="40" t="str">
        <f aca="false">IF(OR(J489="",J489=0),"",M489/J489)</f>
        <v/>
      </c>
      <c r="O489" s="41" t="str">
        <f aca="true">IF(D489="","",IF(I489&lt;&gt;"",I489,TODAY())-D489)</f>
        <v/>
      </c>
    </row>
    <row r="490" customFormat="false" ht="15" hidden="false" customHeight="false" outlineLevel="0" collapsed="false">
      <c r="A490" s="9"/>
      <c r="B490" s="9"/>
      <c r="C490" s="9"/>
      <c r="D490" s="34"/>
      <c r="E490" s="9"/>
      <c r="F490" s="35"/>
      <c r="G490" s="35"/>
      <c r="H490" s="35"/>
      <c r="I490" s="34"/>
      <c r="J490" s="35"/>
      <c r="K490" s="35"/>
      <c r="L490" s="39" t="str">
        <f aca="false">IF(A490="","",IF(I490&lt;&gt;"","Vendu","En stock"))</f>
        <v/>
      </c>
      <c r="M490" s="17" t="str">
        <f aca="false">IF(J490="","",J490-F490-G490-K490)</f>
        <v/>
      </c>
      <c r="N490" s="40" t="str">
        <f aca="false">IF(OR(J490="",J490=0),"",M490/J490)</f>
        <v/>
      </c>
      <c r="O490" s="41" t="str">
        <f aca="true">IF(D490="","",IF(I490&lt;&gt;"",I490,TODAY())-D490)</f>
        <v/>
      </c>
    </row>
    <row r="491" customFormat="false" ht="15" hidden="false" customHeight="false" outlineLevel="0" collapsed="false">
      <c r="A491" s="9"/>
      <c r="B491" s="9"/>
      <c r="C491" s="9"/>
      <c r="D491" s="34"/>
      <c r="E491" s="9"/>
      <c r="F491" s="35"/>
      <c r="G491" s="35"/>
      <c r="H491" s="35"/>
      <c r="I491" s="34"/>
      <c r="J491" s="35"/>
      <c r="K491" s="35"/>
      <c r="L491" s="39" t="str">
        <f aca="false">IF(A491="","",IF(I491&lt;&gt;"","Vendu","En stock"))</f>
        <v/>
      </c>
      <c r="M491" s="17" t="str">
        <f aca="false">IF(J491="","",J491-F491-G491-K491)</f>
        <v/>
      </c>
      <c r="N491" s="40" t="str">
        <f aca="false">IF(OR(J491="",J491=0),"",M491/J491)</f>
        <v/>
      </c>
      <c r="O491" s="41" t="str">
        <f aca="true">IF(D491="","",IF(I491&lt;&gt;"",I491,TODAY())-D491)</f>
        <v/>
      </c>
    </row>
    <row r="492" customFormat="false" ht="15" hidden="false" customHeight="false" outlineLevel="0" collapsed="false">
      <c r="A492" s="9"/>
      <c r="B492" s="9"/>
      <c r="C492" s="9"/>
      <c r="D492" s="34"/>
      <c r="E492" s="9"/>
      <c r="F492" s="35"/>
      <c r="G492" s="35"/>
      <c r="H492" s="35"/>
      <c r="I492" s="34"/>
      <c r="J492" s="35"/>
      <c r="K492" s="35"/>
      <c r="L492" s="39" t="str">
        <f aca="false">IF(A492="","",IF(I492&lt;&gt;"","Vendu","En stock"))</f>
        <v/>
      </c>
      <c r="M492" s="17" t="str">
        <f aca="false">IF(J492="","",J492-F492-G492-K492)</f>
        <v/>
      </c>
      <c r="N492" s="40" t="str">
        <f aca="false">IF(OR(J492="",J492=0),"",M492/J492)</f>
        <v/>
      </c>
      <c r="O492" s="41" t="str">
        <f aca="true">IF(D492="","",IF(I492&lt;&gt;"",I492,TODAY())-D492)</f>
        <v/>
      </c>
    </row>
    <row r="493" customFormat="false" ht="15" hidden="false" customHeight="false" outlineLevel="0" collapsed="false">
      <c r="A493" s="9"/>
      <c r="B493" s="9"/>
      <c r="C493" s="9"/>
      <c r="D493" s="34"/>
      <c r="E493" s="9"/>
      <c r="F493" s="35"/>
      <c r="G493" s="35"/>
      <c r="H493" s="35"/>
      <c r="I493" s="34"/>
      <c r="J493" s="35"/>
      <c r="K493" s="35"/>
      <c r="L493" s="39" t="str">
        <f aca="false">IF(A493="","",IF(I493&lt;&gt;"","Vendu","En stock"))</f>
        <v/>
      </c>
      <c r="M493" s="17" t="str">
        <f aca="false">IF(J493="","",J493-F493-G493-K493)</f>
        <v/>
      </c>
      <c r="N493" s="40" t="str">
        <f aca="false">IF(OR(J493="",J493=0),"",M493/J493)</f>
        <v/>
      </c>
      <c r="O493" s="41" t="str">
        <f aca="true">IF(D493="","",IF(I493&lt;&gt;"",I493,TODAY())-D493)</f>
        <v/>
      </c>
    </row>
    <row r="494" customFormat="false" ht="15" hidden="false" customHeight="false" outlineLevel="0" collapsed="false">
      <c r="A494" s="9"/>
      <c r="B494" s="9"/>
      <c r="C494" s="9"/>
      <c r="D494" s="34"/>
      <c r="E494" s="9"/>
      <c r="F494" s="35"/>
      <c r="G494" s="35"/>
      <c r="H494" s="35"/>
      <c r="I494" s="34"/>
      <c r="J494" s="35"/>
      <c r="K494" s="35"/>
      <c r="L494" s="39" t="str">
        <f aca="false">IF(A494="","",IF(I494&lt;&gt;"","Vendu","En stock"))</f>
        <v/>
      </c>
      <c r="M494" s="17" t="str">
        <f aca="false">IF(J494="","",J494-F494-G494-K494)</f>
        <v/>
      </c>
      <c r="N494" s="40" t="str">
        <f aca="false">IF(OR(J494="",J494=0),"",M494/J494)</f>
        <v/>
      </c>
      <c r="O494" s="41" t="str">
        <f aca="true">IF(D494="","",IF(I494&lt;&gt;"",I494,TODAY())-D494)</f>
        <v/>
      </c>
    </row>
    <row r="495" customFormat="false" ht="15" hidden="false" customHeight="false" outlineLevel="0" collapsed="false">
      <c r="A495" s="9"/>
      <c r="B495" s="9"/>
      <c r="C495" s="9"/>
      <c r="D495" s="34"/>
      <c r="E495" s="9"/>
      <c r="F495" s="35"/>
      <c r="G495" s="35"/>
      <c r="H495" s="35"/>
      <c r="I495" s="34"/>
      <c r="J495" s="35"/>
      <c r="K495" s="35"/>
      <c r="L495" s="39" t="str">
        <f aca="false">IF(A495="","",IF(I495&lt;&gt;"","Vendu","En stock"))</f>
        <v/>
      </c>
      <c r="M495" s="17" t="str">
        <f aca="false">IF(J495="","",J495-F495-G495-K495)</f>
        <v/>
      </c>
      <c r="N495" s="40" t="str">
        <f aca="false">IF(OR(J495="",J495=0),"",M495/J495)</f>
        <v/>
      </c>
      <c r="O495" s="41" t="str">
        <f aca="true">IF(D495="","",IF(I495&lt;&gt;"",I495,TODAY())-D495)</f>
        <v/>
      </c>
    </row>
    <row r="496" customFormat="false" ht="15" hidden="false" customHeight="false" outlineLevel="0" collapsed="false">
      <c r="A496" s="9"/>
      <c r="B496" s="9"/>
      <c r="C496" s="9"/>
      <c r="D496" s="34"/>
      <c r="E496" s="9"/>
      <c r="F496" s="35"/>
      <c r="G496" s="35"/>
      <c r="H496" s="35"/>
      <c r="I496" s="34"/>
      <c r="J496" s="35"/>
      <c r="K496" s="35"/>
      <c r="L496" s="39" t="str">
        <f aca="false">IF(A496="","",IF(I496&lt;&gt;"","Vendu","En stock"))</f>
        <v/>
      </c>
      <c r="M496" s="17" t="str">
        <f aca="false">IF(J496="","",J496-F496-G496-K496)</f>
        <v/>
      </c>
      <c r="N496" s="40" t="str">
        <f aca="false">IF(OR(J496="",J496=0),"",M496/J496)</f>
        <v/>
      </c>
      <c r="O496" s="41" t="str">
        <f aca="true">IF(D496="","",IF(I496&lt;&gt;"",I496,TODAY())-D496)</f>
        <v/>
      </c>
    </row>
    <row r="497" customFormat="false" ht="15" hidden="false" customHeight="false" outlineLevel="0" collapsed="false">
      <c r="A497" s="9"/>
      <c r="B497" s="9"/>
      <c r="C497" s="9"/>
      <c r="D497" s="34"/>
      <c r="E497" s="9"/>
      <c r="F497" s="35"/>
      <c r="G497" s="35"/>
      <c r="H497" s="35"/>
      <c r="I497" s="34"/>
      <c r="J497" s="35"/>
      <c r="K497" s="35"/>
      <c r="L497" s="39" t="str">
        <f aca="false">IF(A497="","",IF(I497&lt;&gt;"","Vendu","En stock"))</f>
        <v/>
      </c>
      <c r="M497" s="17" t="str">
        <f aca="false">IF(J497="","",J497-F497-G497-K497)</f>
        <v/>
      </c>
      <c r="N497" s="40" t="str">
        <f aca="false">IF(OR(J497="",J497=0),"",M497/J497)</f>
        <v/>
      </c>
      <c r="O497" s="41" t="str">
        <f aca="true">IF(D497="","",IF(I497&lt;&gt;"",I497,TODAY())-D497)</f>
        <v/>
      </c>
    </row>
    <row r="498" customFormat="false" ht="15" hidden="false" customHeight="false" outlineLevel="0" collapsed="false">
      <c r="A498" s="9"/>
      <c r="B498" s="9"/>
      <c r="C498" s="9"/>
      <c r="D498" s="34"/>
      <c r="E498" s="9"/>
      <c r="F498" s="35"/>
      <c r="G498" s="35"/>
      <c r="H498" s="35"/>
      <c r="I498" s="34"/>
      <c r="J498" s="35"/>
      <c r="K498" s="35"/>
      <c r="L498" s="39" t="str">
        <f aca="false">IF(A498="","",IF(I498&lt;&gt;"","Vendu","En stock"))</f>
        <v/>
      </c>
      <c r="M498" s="17" t="str">
        <f aca="false">IF(J498="","",J498-F498-G498-K498)</f>
        <v/>
      </c>
      <c r="N498" s="40" t="str">
        <f aca="false">IF(OR(J498="",J498=0),"",M498/J498)</f>
        <v/>
      </c>
      <c r="O498" s="41" t="str">
        <f aca="true">IF(D498="","",IF(I498&lt;&gt;"",I498,TODAY())-D498)</f>
        <v/>
      </c>
    </row>
    <row r="499" customFormat="false" ht="15" hidden="false" customHeight="false" outlineLevel="0" collapsed="false">
      <c r="A499" s="9"/>
      <c r="B499" s="9"/>
      <c r="C499" s="9"/>
      <c r="D499" s="34"/>
      <c r="E499" s="9"/>
      <c r="F499" s="35"/>
      <c r="G499" s="35"/>
      <c r="H499" s="35"/>
      <c r="I499" s="34"/>
      <c r="J499" s="35"/>
      <c r="K499" s="35"/>
      <c r="L499" s="39" t="str">
        <f aca="false">IF(A499="","",IF(I499&lt;&gt;"","Vendu","En stock"))</f>
        <v/>
      </c>
      <c r="M499" s="17" t="str">
        <f aca="false">IF(J499="","",J499-F499-G499-K499)</f>
        <v/>
      </c>
      <c r="N499" s="40" t="str">
        <f aca="false">IF(OR(J499="",J499=0),"",M499/J499)</f>
        <v/>
      </c>
      <c r="O499" s="41" t="str">
        <f aca="true">IF(D499="","",IF(I499&lt;&gt;"",I499,TODAY())-D499)</f>
        <v/>
      </c>
    </row>
    <row r="500" customFormat="false" ht="15" hidden="false" customHeight="false" outlineLevel="0" collapsed="false">
      <c r="A500" s="9"/>
      <c r="B500" s="9"/>
      <c r="C500" s="9"/>
      <c r="D500" s="34"/>
      <c r="E500" s="9"/>
      <c r="F500" s="35"/>
      <c r="G500" s="35"/>
      <c r="H500" s="35"/>
      <c r="I500" s="34"/>
      <c r="J500" s="35"/>
      <c r="K500" s="35"/>
      <c r="L500" s="39" t="str">
        <f aca="false">IF(A500="","",IF(I500&lt;&gt;"","Vendu","En stock"))</f>
        <v/>
      </c>
      <c r="M500" s="17" t="str">
        <f aca="false">IF(J500="","",J500-F500-G500-K500)</f>
        <v/>
      </c>
      <c r="N500" s="40" t="str">
        <f aca="false">IF(OR(J500="",J500=0),"",M500/J500)</f>
        <v/>
      </c>
      <c r="O500" s="41" t="str">
        <f aca="true">IF(D500="","",IF(I500&lt;&gt;"",I500,TODAY())-D500)</f>
        <v/>
      </c>
    </row>
    <row r="501" customFormat="false" ht="15" hidden="false" customHeight="false" outlineLevel="0" collapsed="false">
      <c r="A501" s="9"/>
      <c r="B501" s="9"/>
      <c r="C501" s="9"/>
      <c r="D501" s="34"/>
      <c r="E501" s="9"/>
      <c r="F501" s="35"/>
      <c r="G501" s="35"/>
      <c r="H501" s="35"/>
      <c r="I501" s="34"/>
      <c r="J501" s="35"/>
      <c r="K501" s="35"/>
      <c r="L501" s="39" t="str">
        <f aca="false">IF(A501="","",IF(I501&lt;&gt;"","Vendu","En stock"))</f>
        <v/>
      </c>
      <c r="M501" s="17" t="str">
        <f aca="false">IF(J501="","",J501-F501-G501-K501)</f>
        <v/>
      </c>
      <c r="N501" s="40" t="str">
        <f aca="false">IF(OR(J501="",J501=0),"",M501/J501)</f>
        <v/>
      </c>
      <c r="O501" s="41" t="str">
        <f aca="true">IF(D501="","",IF(I501&lt;&gt;"",I501,TODAY())-D501)</f>
        <v/>
      </c>
    </row>
    <row r="502" customFormat="false" ht="15" hidden="false" customHeight="false" outlineLevel="0" collapsed="false">
      <c r="A502" s="9"/>
      <c r="B502" s="9"/>
      <c r="C502" s="9"/>
      <c r="D502" s="34"/>
      <c r="E502" s="9"/>
      <c r="F502" s="35"/>
      <c r="G502" s="35"/>
      <c r="H502" s="35"/>
      <c r="I502" s="34"/>
      <c r="J502" s="35"/>
      <c r="K502" s="35"/>
      <c r="L502" s="39" t="str">
        <f aca="false">IF(A502="","",IF(I502&lt;&gt;"","Vendu","En stock"))</f>
        <v/>
      </c>
      <c r="M502" s="17" t="str">
        <f aca="false">IF(J502="","",J502-F502-G502-K502)</f>
        <v/>
      </c>
      <c r="N502" s="40" t="str">
        <f aca="false">IF(OR(J502="",J502=0),"",M502/J502)</f>
        <v/>
      </c>
      <c r="O502" s="41" t="str">
        <f aca="true">IF(D502="","",IF(I502&lt;&gt;"",I502,TODAY())-D502)</f>
        <v/>
      </c>
    </row>
    <row r="503" customFormat="false" ht="15" hidden="false" customHeight="false" outlineLevel="0" collapsed="false">
      <c r="A503" s="9"/>
      <c r="B503" s="9"/>
      <c r="C503" s="9"/>
      <c r="D503" s="34"/>
      <c r="E503" s="9"/>
      <c r="F503" s="35"/>
      <c r="G503" s="35"/>
      <c r="H503" s="35"/>
      <c r="I503" s="34"/>
      <c r="J503" s="35"/>
      <c r="K503" s="35"/>
      <c r="L503" s="39" t="str">
        <f aca="false">IF(A503="","",IF(I503&lt;&gt;"","Vendu","En stock"))</f>
        <v/>
      </c>
      <c r="M503" s="17" t="str">
        <f aca="false">IF(J503="","",J503-F503-G503-K503)</f>
        <v/>
      </c>
      <c r="N503" s="40" t="str">
        <f aca="false">IF(OR(J503="",J503=0),"",M503/J503)</f>
        <v/>
      </c>
      <c r="O503" s="41" t="str">
        <f aca="true">IF(D503="","",IF(I503&lt;&gt;"",I503,TODAY())-D503)</f>
        <v/>
      </c>
    </row>
    <row r="504" customFormat="false" ht="15" hidden="false" customHeight="false" outlineLevel="0" collapsed="false">
      <c r="A504" s="9"/>
      <c r="B504" s="9"/>
      <c r="C504" s="9"/>
      <c r="D504" s="34"/>
      <c r="E504" s="9"/>
      <c r="F504" s="35"/>
      <c r="G504" s="35"/>
      <c r="H504" s="35"/>
      <c r="I504" s="34"/>
      <c r="J504" s="35"/>
      <c r="K504" s="35"/>
      <c r="L504" s="39" t="str">
        <f aca="false">IF(A504="","",IF(I504&lt;&gt;"","Vendu","En stock"))</f>
        <v/>
      </c>
      <c r="M504" s="17" t="str">
        <f aca="false">IF(J504="","",J504-F504-G504-K504)</f>
        <v/>
      </c>
      <c r="N504" s="40" t="str">
        <f aca="false">IF(OR(J504="",J504=0),"",M504/J504)</f>
        <v/>
      </c>
      <c r="O504" s="41" t="str">
        <f aca="true">IF(D504="","",IF(I504&lt;&gt;"",I504,TODAY())-D504)</f>
        <v/>
      </c>
    </row>
    <row r="505" customFormat="false" ht="15" hidden="false" customHeight="false" outlineLevel="0" collapsed="false">
      <c r="A505" s="9"/>
      <c r="B505" s="9"/>
      <c r="C505" s="9"/>
      <c r="D505" s="34"/>
      <c r="E505" s="9"/>
      <c r="F505" s="35"/>
      <c r="G505" s="35"/>
      <c r="H505" s="35"/>
      <c r="I505" s="34"/>
      <c r="J505" s="35"/>
      <c r="K505" s="35"/>
      <c r="L505" s="39" t="str">
        <f aca="false">IF(A505="","",IF(I505&lt;&gt;"","Vendu","En stock"))</f>
        <v/>
      </c>
      <c r="M505" s="17" t="str">
        <f aca="false">IF(J505="","",J505-F505-G505-K505)</f>
        <v/>
      </c>
      <c r="N505" s="40" t="str">
        <f aca="false">IF(OR(J505="",J505=0),"",M505/J505)</f>
        <v/>
      </c>
      <c r="O505" s="41" t="str">
        <f aca="true">IF(D505="","",IF(I505&lt;&gt;"",I505,TODAY())-D505)</f>
        <v/>
      </c>
    </row>
    <row r="506" customFormat="false" ht="15" hidden="false" customHeight="false" outlineLevel="0" collapsed="false">
      <c r="A506" s="9"/>
      <c r="B506" s="9"/>
      <c r="C506" s="9"/>
      <c r="D506" s="34"/>
      <c r="E506" s="9"/>
      <c r="F506" s="35"/>
      <c r="G506" s="35"/>
      <c r="H506" s="35"/>
      <c r="I506" s="34"/>
      <c r="J506" s="35"/>
      <c r="K506" s="35"/>
      <c r="L506" s="39" t="str">
        <f aca="false">IF(A506="","",IF(I506&lt;&gt;"","Vendu","En stock"))</f>
        <v/>
      </c>
      <c r="M506" s="17" t="str">
        <f aca="false">IF(J506="","",J506-F506-G506-K506)</f>
        <v/>
      </c>
      <c r="N506" s="40" t="str">
        <f aca="false">IF(OR(J506="",J506=0),"",M506/J506)</f>
        <v/>
      </c>
      <c r="O506" s="41" t="str">
        <f aca="true">IF(D506="","",IF(I506&lt;&gt;"",I506,TODAY())-D506)</f>
        <v/>
      </c>
    </row>
    <row r="507" customFormat="false" ht="15" hidden="false" customHeight="false" outlineLevel="0" collapsed="false">
      <c r="A507" s="9"/>
      <c r="B507" s="9"/>
      <c r="C507" s="9"/>
      <c r="D507" s="34"/>
      <c r="E507" s="9"/>
      <c r="F507" s="35"/>
      <c r="G507" s="35"/>
      <c r="H507" s="35"/>
      <c r="I507" s="34"/>
      <c r="J507" s="35"/>
      <c r="K507" s="35"/>
      <c r="L507" s="39" t="str">
        <f aca="false">IF(A507="","",IF(I507&lt;&gt;"","Vendu","En stock"))</f>
        <v/>
      </c>
      <c r="M507" s="17" t="str">
        <f aca="false">IF(J507="","",J507-F507-G507-K507)</f>
        <v/>
      </c>
      <c r="N507" s="40" t="str">
        <f aca="false">IF(OR(J507="",J507=0),"",M507/J507)</f>
        <v/>
      </c>
      <c r="O507" s="41" t="str">
        <f aca="true">IF(D507="","",IF(I507&lt;&gt;"",I507,TODAY())-D507)</f>
        <v/>
      </c>
    </row>
    <row r="508" customFormat="false" ht="15" hidden="false" customHeight="false" outlineLevel="0" collapsed="false">
      <c r="A508" s="9"/>
      <c r="B508" s="9"/>
      <c r="C508" s="9"/>
      <c r="D508" s="34"/>
      <c r="E508" s="9"/>
      <c r="F508" s="35"/>
      <c r="G508" s="35"/>
      <c r="H508" s="35"/>
      <c r="I508" s="34"/>
      <c r="J508" s="35"/>
      <c r="K508" s="35"/>
      <c r="L508" s="39" t="str">
        <f aca="false">IF(A508="","",IF(I508&lt;&gt;"","Vendu","En stock"))</f>
        <v/>
      </c>
      <c r="M508" s="17" t="str">
        <f aca="false">IF(J508="","",J508-F508-G508-K508)</f>
        <v/>
      </c>
      <c r="N508" s="40" t="str">
        <f aca="false">IF(OR(J508="",J508=0),"",M508/J508)</f>
        <v/>
      </c>
      <c r="O508" s="41" t="str">
        <f aca="true">IF(D508="","",IF(I508&lt;&gt;"",I508,TODAY())-D508)</f>
        <v/>
      </c>
    </row>
    <row r="509" customFormat="false" ht="15" hidden="false" customHeight="false" outlineLevel="0" collapsed="false">
      <c r="A509" s="9"/>
      <c r="B509" s="9"/>
      <c r="C509" s="9"/>
      <c r="D509" s="34"/>
      <c r="E509" s="9"/>
      <c r="F509" s="35"/>
      <c r="G509" s="35"/>
      <c r="H509" s="35"/>
      <c r="I509" s="34"/>
      <c r="J509" s="35"/>
      <c r="K509" s="35"/>
      <c r="L509" s="39" t="str">
        <f aca="false">IF(A509="","",IF(I509&lt;&gt;"","Vendu","En stock"))</f>
        <v/>
      </c>
      <c r="M509" s="17" t="str">
        <f aca="false">IF(J509="","",J509-F509-G509-K509)</f>
        <v/>
      </c>
      <c r="N509" s="40" t="str">
        <f aca="false">IF(OR(J509="",J509=0),"",M509/J509)</f>
        <v/>
      </c>
      <c r="O509" s="41" t="str">
        <f aca="true">IF(D509="","",IF(I509&lt;&gt;"",I509,TODAY())-D509)</f>
        <v/>
      </c>
    </row>
    <row r="510" customFormat="false" ht="15" hidden="false" customHeight="false" outlineLevel="0" collapsed="false">
      <c r="A510" s="9"/>
      <c r="B510" s="9"/>
      <c r="C510" s="9"/>
      <c r="D510" s="34"/>
      <c r="E510" s="9"/>
      <c r="F510" s="35"/>
      <c r="G510" s="35"/>
      <c r="H510" s="35"/>
      <c r="I510" s="34"/>
      <c r="J510" s="35"/>
      <c r="K510" s="35"/>
      <c r="L510" s="39" t="str">
        <f aca="false">IF(A510="","",IF(I510&lt;&gt;"","Vendu","En stock"))</f>
        <v/>
      </c>
      <c r="M510" s="17" t="str">
        <f aca="false">IF(J510="","",J510-F510-G510-K510)</f>
        <v/>
      </c>
      <c r="N510" s="40" t="str">
        <f aca="false">IF(OR(J510="",J510=0),"",M510/J510)</f>
        <v/>
      </c>
      <c r="O510" s="41" t="str">
        <f aca="true">IF(D510="","",IF(I510&lt;&gt;"",I510,TODAY())-D510)</f>
        <v/>
      </c>
    </row>
    <row r="511" customFormat="false" ht="15" hidden="false" customHeight="false" outlineLevel="0" collapsed="false">
      <c r="A511" s="9"/>
      <c r="B511" s="9"/>
      <c r="C511" s="9"/>
      <c r="D511" s="34"/>
      <c r="E511" s="9"/>
      <c r="F511" s="35"/>
      <c r="G511" s="35"/>
      <c r="H511" s="35"/>
      <c r="I511" s="34"/>
      <c r="J511" s="35"/>
      <c r="K511" s="35"/>
      <c r="L511" s="39" t="str">
        <f aca="false">IF(A511="","",IF(I511&lt;&gt;"","Vendu","En stock"))</f>
        <v/>
      </c>
      <c r="M511" s="17" t="str">
        <f aca="false">IF(J511="","",J511-F511-G511-K511)</f>
        <v/>
      </c>
      <c r="N511" s="40" t="str">
        <f aca="false">IF(OR(J511="",J511=0),"",M511/J511)</f>
        <v/>
      </c>
      <c r="O511" s="41" t="str">
        <f aca="true">IF(D511="","",IF(I511&lt;&gt;"",I511,TODAY())-D511)</f>
        <v/>
      </c>
    </row>
    <row r="512" customFormat="false" ht="15" hidden="false" customHeight="false" outlineLevel="0" collapsed="false">
      <c r="A512" s="9"/>
      <c r="B512" s="9"/>
      <c r="C512" s="9"/>
      <c r="D512" s="34"/>
      <c r="E512" s="9"/>
      <c r="F512" s="35"/>
      <c r="G512" s="35"/>
      <c r="H512" s="35"/>
      <c r="I512" s="34"/>
      <c r="J512" s="35"/>
      <c r="K512" s="35"/>
      <c r="L512" s="39" t="str">
        <f aca="false">IF(A512="","",IF(I512&lt;&gt;"","Vendu","En stock"))</f>
        <v/>
      </c>
      <c r="M512" s="17" t="str">
        <f aca="false">IF(J512="","",J512-F512-G512-K512)</f>
        <v/>
      </c>
      <c r="N512" s="40" t="str">
        <f aca="false">IF(OR(J512="",J512=0),"",M512/J512)</f>
        <v/>
      </c>
      <c r="O512" s="41" t="str">
        <f aca="true">IF(D512="","",IF(I512&lt;&gt;"",I512,TODAY())-D512)</f>
        <v/>
      </c>
    </row>
    <row r="513" customFormat="false" ht="15" hidden="false" customHeight="false" outlineLevel="0" collapsed="false">
      <c r="A513" s="9"/>
      <c r="B513" s="9"/>
      <c r="C513" s="9"/>
      <c r="D513" s="34"/>
      <c r="E513" s="9"/>
      <c r="F513" s="35"/>
      <c r="G513" s="35"/>
      <c r="H513" s="35"/>
      <c r="I513" s="34"/>
      <c r="J513" s="35"/>
      <c r="K513" s="35"/>
      <c r="L513" s="39" t="str">
        <f aca="false">IF(A513="","",IF(I513&lt;&gt;"","Vendu","En stock"))</f>
        <v/>
      </c>
      <c r="M513" s="17" t="str">
        <f aca="false">IF(J513="","",J513-F513-G513-K513)</f>
        <v/>
      </c>
      <c r="N513" s="40" t="str">
        <f aca="false">IF(OR(J513="",J513=0),"",M513/J513)</f>
        <v/>
      </c>
      <c r="O513" s="41" t="str">
        <f aca="true">IF(D513="","",IF(I513&lt;&gt;"",I513,TODAY())-D513)</f>
        <v/>
      </c>
    </row>
    <row r="514" customFormat="false" ht="15" hidden="false" customHeight="false" outlineLevel="0" collapsed="false">
      <c r="A514" s="9"/>
      <c r="B514" s="9"/>
      <c r="C514" s="9"/>
      <c r="D514" s="34"/>
      <c r="E514" s="9"/>
      <c r="F514" s="35"/>
      <c r="G514" s="35"/>
      <c r="H514" s="35"/>
      <c r="I514" s="34"/>
      <c r="J514" s="35"/>
      <c r="K514" s="35"/>
      <c r="L514" s="39" t="str">
        <f aca="false">IF(A514="","",IF(I514&lt;&gt;"","Vendu","En stock"))</f>
        <v/>
      </c>
      <c r="M514" s="17" t="str">
        <f aca="false">IF(J514="","",J514-F514-G514-K514)</f>
        <v/>
      </c>
      <c r="N514" s="40" t="str">
        <f aca="false">IF(OR(J514="",J514=0),"",M514/J514)</f>
        <v/>
      </c>
      <c r="O514" s="41" t="str">
        <f aca="true">IF(D514="","",IF(I514&lt;&gt;"",I514,TODAY())-D514)</f>
        <v/>
      </c>
    </row>
    <row r="515" customFormat="false" ht="15" hidden="false" customHeight="false" outlineLevel="0" collapsed="false">
      <c r="A515" s="9"/>
      <c r="B515" s="9"/>
      <c r="C515" s="9"/>
      <c r="D515" s="34"/>
      <c r="E515" s="9"/>
      <c r="F515" s="35"/>
      <c r="G515" s="35"/>
      <c r="H515" s="35"/>
      <c r="I515" s="34"/>
      <c r="J515" s="35"/>
      <c r="K515" s="35"/>
      <c r="L515" s="39" t="str">
        <f aca="false">IF(A515="","",IF(I515&lt;&gt;"","Vendu","En stock"))</f>
        <v/>
      </c>
      <c r="M515" s="17" t="str">
        <f aca="false">IF(J515="","",J515-F515-G515-K515)</f>
        <v/>
      </c>
      <c r="N515" s="40" t="str">
        <f aca="false">IF(OR(J515="",J515=0),"",M515/J515)</f>
        <v/>
      </c>
      <c r="O515" s="41" t="str">
        <f aca="true">IF(D515="","",IF(I515&lt;&gt;"",I515,TODAY())-D515)</f>
        <v/>
      </c>
    </row>
    <row r="516" customFormat="false" ht="15" hidden="false" customHeight="false" outlineLevel="0" collapsed="false">
      <c r="A516" s="9"/>
      <c r="B516" s="9"/>
      <c r="C516" s="9"/>
      <c r="D516" s="34"/>
      <c r="E516" s="9"/>
      <c r="F516" s="35"/>
      <c r="G516" s="35"/>
      <c r="H516" s="35"/>
      <c r="I516" s="34"/>
      <c r="J516" s="35"/>
      <c r="K516" s="35"/>
      <c r="L516" s="39" t="str">
        <f aca="false">IF(A516="","",IF(I516&lt;&gt;"","Vendu","En stock"))</f>
        <v/>
      </c>
      <c r="M516" s="17" t="str">
        <f aca="false">IF(J516="","",J516-F516-G516-K516)</f>
        <v/>
      </c>
      <c r="N516" s="40" t="str">
        <f aca="false">IF(OR(J516="",J516=0),"",M516/J516)</f>
        <v/>
      </c>
      <c r="O516" s="41" t="str">
        <f aca="true">IF(D516="","",IF(I516&lt;&gt;"",I516,TODAY())-D516)</f>
        <v/>
      </c>
    </row>
    <row r="517" customFormat="false" ht="15" hidden="false" customHeight="false" outlineLevel="0" collapsed="false">
      <c r="A517" s="9"/>
      <c r="B517" s="9"/>
      <c r="C517" s="9"/>
      <c r="D517" s="34"/>
      <c r="E517" s="9"/>
      <c r="F517" s="35"/>
      <c r="G517" s="35"/>
      <c r="H517" s="35"/>
      <c r="I517" s="34"/>
      <c r="J517" s="35"/>
      <c r="K517" s="35"/>
      <c r="L517" s="39" t="str">
        <f aca="false">IF(A517="","",IF(I517&lt;&gt;"","Vendu","En stock"))</f>
        <v/>
      </c>
      <c r="M517" s="17" t="str">
        <f aca="false">IF(J517="","",J517-F517-G517-K517)</f>
        <v/>
      </c>
      <c r="N517" s="40" t="str">
        <f aca="false">IF(OR(J517="",J517=0),"",M517/J517)</f>
        <v/>
      </c>
      <c r="O517" s="41" t="str">
        <f aca="true">IF(D517="","",IF(I517&lt;&gt;"",I517,TODAY())-D517)</f>
        <v/>
      </c>
    </row>
    <row r="518" customFormat="false" ht="15" hidden="false" customHeight="false" outlineLevel="0" collapsed="false">
      <c r="A518" s="9"/>
      <c r="B518" s="9"/>
      <c r="C518" s="9"/>
      <c r="D518" s="34"/>
      <c r="E518" s="9"/>
      <c r="F518" s="35"/>
      <c r="G518" s="35"/>
      <c r="H518" s="35"/>
      <c r="I518" s="34"/>
      <c r="J518" s="35"/>
      <c r="K518" s="35"/>
      <c r="L518" s="39" t="str">
        <f aca="false">IF(A518="","",IF(I518&lt;&gt;"","Vendu","En stock"))</f>
        <v/>
      </c>
      <c r="M518" s="17" t="str">
        <f aca="false">IF(J518="","",J518-F518-G518-K518)</f>
        <v/>
      </c>
      <c r="N518" s="40" t="str">
        <f aca="false">IF(OR(J518="",J518=0),"",M518/J518)</f>
        <v/>
      </c>
      <c r="O518" s="41" t="str">
        <f aca="true">IF(D518="","",IF(I518&lt;&gt;"",I518,TODAY())-D518)</f>
        <v/>
      </c>
    </row>
    <row r="519" customFormat="false" ht="15" hidden="false" customHeight="false" outlineLevel="0" collapsed="false">
      <c r="A519" s="9"/>
      <c r="B519" s="9"/>
      <c r="C519" s="9"/>
      <c r="D519" s="34"/>
      <c r="E519" s="9"/>
      <c r="F519" s="35"/>
      <c r="G519" s="35"/>
      <c r="H519" s="35"/>
      <c r="I519" s="34"/>
      <c r="J519" s="35"/>
      <c r="K519" s="35"/>
      <c r="L519" s="39" t="str">
        <f aca="false">IF(A519="","",IF(I519&lt;&gt;"","Vendu","En stock"))</f>
        <v/>
      </c>
      <c r="M519" s="17" t="str">
        <f aca="false">IF(J519="","",J519-F519-G519-K519)</f>
        <v/>
      </c>
      <c r="N519" s="40" t="str">
        <f aca="false">IF(OR(J519="",J519=0),"",M519/J519)</f>
        <v/>
      </c>
      <c r="O519" s="41" t="str">
        <f aca="true">IF(D519="","",IF(I519&lt;&gt;"",I519,TODAY())-D519)</f>
        <v/>
      </c>
    </row>
    <row r="520" customFormat="false" ht="15" hidden="false" customHeight="false" outlineLevel="0" collapsed="false">
      <c r="A520" s="9"/>
      <c r="B520" s="9"/>
      <c r="C520" s="9"/>
      <c r="D520" s="34"/>
      <c r="E520" s="9"/>
      <c r="F520" s="35"/>
      <c r="G520" s="35"/>
      <c r="H520" s="35"/>
      <c r="I520" s="34"/>
      <c r="J520" s="35"/>
      <c r="K520" s="35"/>
      <c r="L520" s="39" t="str">
        <f aca="false">IF(A520="","",IF(I520&lt;&gt;"","Vendu","En stock"))</f>
        <v/>
      </c>
      <c r="M520" s="17" t="str">
        <f aca="false">IF(J520="","",J520-F520-G520-K520)</f>
        <v/>
      </c>
      <c r="N520" s="40" t="str">
        <f aca="false">IF(OR(J520="",J520=0),"",M520/J520)</f>
        <v/>
      </c>
      <c r="O520" s="41" t="str">
        <f aca="true">IF(D520="","",IF(I520&lt;&gt;"",I520,TODAY())-D520)</f>
        <v/>
      </c>
    </row>
    <row r="521" customFormat="false" ht="15" hidden="false" customHeight="false" outlineLevel="0" collapsed="false">
      <c r="A521" s="9"/>
      <c r="B521" s="9"/>
      <c r="C521" s="9"/>
      <c r="D521" s="34"/>
      <c r="E521" s="9"/>
      <c r="F521" s="35"/>
      <c r="G521" s="35"/>
      <c r="H521" s="35"/>
      <c r="I521" s="34"/>
      <c r="J521" s="35"/>
      <c r="K521" s="35"/>
      <c r="L521" s="39" t="str">
        <f aca="false">IF(A521="","",IF(I521&lt;&gt;"","Vendu","En stock"))</f>
        <v/>
      </c>
      <c r="M521" s="17" t="str">
        <f aca="false">IF(J521="","",J521-F521-G521-K521)</f>
        <v/>
      </c>
      <c r="N521" s="40" t="str">
        <f aca="false">IF(OR(J521="",J521=0),"",M521/J521)</f>
        <v/>
      </c>
      <c r="O521" s="41" t="str">
        <f aca="true">IF(D521="","",IF(I521&lt;&gt;"",I521,TODAY())-D521)</f>
        <v/>
      </c>
    </row>
    <row r="522" customFormat="false" ht="15" hidden="false" customHeight="false" outlineLevel="0" collapsed="false">
      <c r="A522" s="9"/>
      <c r="B522" s="9"/>
      <c r="C522" s="9"/>
      <c r="D522" s="34"/>
      <c r="E522" s="9"/>
      <c r="F522" s="35"/>
      <c r="G522" s="35"/>
      <c r="H522" s="35"/>
      <c r="I522" s="34"/>
      <c r="J522" s="35"/>
      <c r="K522" s="35"/>
      <c r="L522" s="39" t="str">
        <f aca="false">IF(A522="","",IF(I522&lt;&gt;"","Vendu","En stock"))</f>
        <v/>
      </c>
      <c r="M522" s="17" t="str">
        <f aca="false">IF(J522="","",J522-F522-G522-K522)</f>
        <v/>
      </c>
      <c r="N522" s="40" t="str">
        <f aca="false">IF(OR(J522="",J522=0),"",M522/J522)</f>
        <v/>
      </c>
      <c r="O522" s="41" t="str">
        <f aca="true">IF(D522="","",IF(I522&lt;&gt;"",I522,TODAY())-D522)</f>
        <v/>
      </c>
    </row>
    <row r="523" customFormat="false" ht="15" hidden="false" customHeight="false" outlineLevel="0" collapsed="false">
      <c r="A523" s="9"/>
      <c r="B523" s="9"/>
      <c r="C523" s="9"/>
      <c r="D523" s="34"/>
      <c r="E523" s="9"/>
      <c r="F523" s="35"/>
      <c r="G523" s="35"/>
      <c r="H523" s="35"/>
      <c r="I523" s="34"/>
      <c r="J523" s="35"/>
      <c r="K523" s="35"/>
      <c r="L523" s="39" t="str">
        <f aca="false">IF(A523="","",IF(I523&lt;&gt;"","Vendu","En stock"))</f>
        <v/>
      </c>
      <c r="M523" s="17" t="str">
        <f aca="false">IF(J523="","",J523-F523-G523-K523)</f>
        <v/>
      </c>
      <c r="N523" s="40" t="str">
        <f aca="false">IF(OR(J523="",J523=0),"",M523/J523)</f>
        <v/>
      </c>
      <c r="O523" s="41" t="str">
        <f aca="true">IF(D523="","",IF(I523&lt;&gt;"",I523,TODAY())-D523)</f>
        <v/>
      </c>
    </row>
    <row r="524" customFormat="false" ht="15" hidden="false" customHeight="false" outlineLevel="0" collapsed="false">
      <c r="A524" s="9"/>
      <c r="B524" s="9"/>
      <c r="C524" s="9"/>
      <c r="D524" s="34"/>
      <c r="E524" s="9"/>
      <c r="F524" s="35"/>
      <c r="G524" s="35"/>
      <c r="H524" s="35"/>
      <c r="I524" s="34"/>
      <c r="J524" s="35"/>
      <c r="K524" s="35"/>
      <c r="L524" s="39" t="str">
        <f aca="false">IF(A524="","",IF(I524&lt;&gt;"","Vendu","En stock"))</f>
        <v/>
      </c>
      <c r="M524" s="17" t="str">
        <f aca="false">IF(J524="","",J524-F524-G524-K524)</f>
        <v/>
      </c>
      <c r="N524" s="40" t="str">
        <f aca="false">IF(OR(J524="",J524=0),"",M524/J524)</f>
        <v/>
      </c>
      <c r="O524" s="41" t="str">
        <f aca="true">IF(D524="","",IF(I524&lt;&gt;"",I524,TODAY())-D524)</f>
        <v/>
      </c>
    </row>
    <row r="525" customFormat="false" ht="15" hidden="false" customHeight="false" outlineLevel="0" collapsed="false">
      <c r="A525" s="9"/>
      <c r="B525" s="9"/>
      <c r="C525" s="9"/>
      <c r="D525" s="34"/>
      <c r="E525" s="9"/>
      <c r="F525" s="35"/>
      <c r="G525" s="35"/>
      <c r="H525" s="35"/>
      <c r="I525" s="34"/>
      <c r="J525" s="35"/>
      <c r="K525" s="35"/>
      <c r="L525" s="39" t="str">
        <f aca="false">IF(A525="","",IF(I525&lt;&gt;"","Vendu","En stock"))</f>
        <v/>
      </c>
      <c r="M525" s="17" t="str">
        <f aca="false">IF(J525="","",J525-F525-G525-K525)</f>
        <v/>
      </c>
      <c r="N525" s="40" t="str">
        <f aca="false">IF(OR(J525="",J525=0),"",M525/J525)</f>
        <v/>
      </c>
      <c r="O525" s="41" t="str">
        <f aca="true">IF(D525="","",IF(I525&lt;&gt;"",I525,TODAY())-D525)</f>
        <v/>
      </c>
    </row>
    <row r="526" customFormat="false" ht="15" hidden="false" customHeight="false" outlineLevel="0" collapsed="false">
      <c r="A526" s="9"/>
      <c r="B526" s="9"/>
      <c r="C526" s="9"/>
      <c r="D526" s="34"/>
      <c r="E526" s="9"/>
      <c r="F526" s="35"/>
      <c r="G526" s="35"/>
      <c r="H526" s="35"/>
      <c r="I526" s="34"/>
      <c r="J526" s="35"/>
      <c r="K526" s="35"/>
      <c r="L526" s="39" t="str">
        <f aca="false">IF(A526="","",IF(I526&lt;&gt;"","Vendu","En stock"))</f>
        <v/>
      </c>
      <c r="M526" s="17" t="str">
        <f aca="false">IF(J526="","",J526-F526-G526-K526)</f>
        <v/>
      </c>
      <c r="N526" s="40" t="str">
        <f aca="false">IF(OR(J526="",J526=0),"",M526/J526)</f>
        <v/>
      </c>
      <c r="O526" s="41" t="str">
        <f aca="true">IF(D526="","",IF(I526&lt;&gt;"",I526,TODAY())-D526)</f>
        <v/>
      </c>
    </row>
    <row r="527" customFormat="false" ht="15" hidden="false" customHeight="false" outlineLevel="0" collapsed="false">
      <c r="A527" s="9"/>
      <c r="B527" s="9"/>
      <c r="C527" s="9"/>
      <c r="D527" s="34"/>
      <c r="E527" s="9"/>
      <c r="F527" s="35"/>
      <c r="G527" s="35"/>
      <c r="H527" s="35"/>
      <c r="I527" s="34"/>
      <c r="J527" s="35"/>
      <c r="K527" s="35"/>
      <c r="L527" s="39" t="str">
        <f aca="false">IF(A527="","",IF(I527&lt;&gt;"","Vendu","En stock"))</f>
        <v/>
      </c>
      <c r="M527" s="17" t="str">
        <f aca="false">IF(J527="","",J527-F527-G527-K527)</f>
        <v/>
      </c>
      <c r="N527" s="40" t="str">
        <f aca="false">IF(OR(J527="",J527=0),"",M527/J527)</f>
        <v/>
      </c>
      <c r="O527" s="41" t="str">
        <f aca="true">IF(D527="","",IF(I527&lt;&gt;"",I527,TODAY())-D527)</f>
        <v/>
      </c>
    </row>
    <row r="528" customFormat="false" ht="15" hidden="false" customHeight="false" outlineLevel="0" collapsed="false">
      <c r="A528" s="9"/>
      <c r="B528" s="9"/>
      <c r="C528" s="9"/>
      <c r="D528" s="34"/>
      <c r="E528" s="9"/>
      <c r="F528" s="35"/>
      <c r="G528" s="35"/>
      <c r="H528" s="35"/>
      <c r="I528" s="34"/>
      <c r="J528" s="35"/>
      <c r="K528" s="35"/>
      <c r="L528" s="39" t="str">
        <f aca="false">IF(A528="","",IF(I528&lt;&gt;"","Vendu","En stock"))</f>
        <v/>
      </c>
      <c r="M528" s="17" t="str">
        <f aca="false">IF(J528="","",J528-F528-G528-K528)</f>
        <v/>
      </c>
      <c r="N528" s="40" t="str">
        <f aca="false">IF(OR(J528="",J528=0),"",M528/J528)</f>
        <v/>
      </c>
      <c r="O528" s="41" t="str">
        <f aca="true">IF(D528="","",IF(I528&lt;&gt;"",I528,TODAY())-D528)</f>
        <v/>
      </c>
    </row>
    <row r="529" customFormat="false" ht="15" hidden="false" customHeight="false" outlineLevel="0" collapsed="false">
      <c r="A529" s="9"/>
      <c r="B529" s="9"/>
      <c r="C529" s="9"/>
      <c r="D529" s="34"/>
      <c r="E529" s="9"/>
      <c r="F529" s="35"/>
      <c r="G529" s="35"/>
      <c r="H529" s="35"/>
      <c r="I529" s="34"/>
      <c r="J529" s="35"/>
      <c r="K529" s="35"/>
      <c r="L529" s="39" t="str">
        <f aca="false">IF(A529="","",IF(I529&lt;&gt;"","Vendu","En stock"))</f>
        <v/>
      </c>
      <c r="M529" s="17" t="str">
        <f aca="false">IF(J529="","",J529-F529-G529-K529)</f>
        <v/>
      </c>
      <c r="N529" s="40" t="str">
        <f aca="false">IF(OR(J529="",J529=0),"",M529/J529)</f>
        <v/>
      </c>
      <c r="O529" s="41" t="str">
        <f aca="true">IF(D529="","",IF(I529&lt;&gt;"",I529,TODAY())-D529)</f>
        <v/>
      </c>
    </row>
    <row r="530" customFormat="false" ht="15" hidden="false" customHeight="false" outlineLevel="0" collapsed="false">
      <c r="A530" s="9"/>
      <c r="B530" s="9"/>
      <c r="C530" s="9"/>
      <c r="D530" s="34"/>
      <c r="E530" s="9"/>
      <c r="F530" s="35"/>
      <c r="G530" s="35"/>
      <c r="H530" s="35"/>
      <c r="I530" s="34"/>
      <c r="J530" s="35"/>
      <c r="K530" s="35"/>
      <c r="L530" s="39" t="str">
        <f aca="false">IF(A530="","",IF(I530&lt;&gt;"","Vendu","En stock"))</f>
        <v/>
      </c>
      <c r="M530" s="17" t="str">
        <f aca="false">IF(J530="","",J530-F530-G530-K530)</f>
        <v/>
      </c>
      <c r="N530" s="40" t="str">
        <f aca="false">IF(OR(J530="",J530=0),"",M530/J530)</f>
        <v/>
      </c>
      <c r="O530" s="41" t="str">
        <f aca="true">IF(D530="","",IF(I530&lt;&gt;"",I530,TODAY())-D530)</f>
        <v/>
      </c>
    </row>
    <row r="531" customFormat="false" ht="15" hidden="false" customHeight="false" outlineLevel="0" collapsed="false">
      <c r="A531" s="9"/>
      <c r="B531" s="9"/>
      <c r="C531" s="9"/>
      <c r="D531" s="34"/>
      <c r="E531" s="9"/>
      <c r="F531" s="35"/>
      <c r="G531" s="35"/>
      <c r="H531" s="35"/>
      <c r="I531" s="34"/>
      <c r="J531" s="35"/>
      <c r="K531" s="35"/>
      <c r="L531" s="39" t="str">
        <f aca="false">IF(A531="","",IF(I531&lt;&gt;"","Vendu","En stock"))</f>
        <v/>
      </c>
      <c r="M531" s="17" t="str">
        <f aca="false">IF(J531="","",J531-F531-G531-K531)</f>
        <v/>
      </c>
      <c r="N531" s="40" t="str">
        <f aca="false">IF(OR(J531="",J531=0),"",M531/J531)</f>
        <v/>
      </c>
      <c r="O531" s="41" t="str">
        <f aca="true">IF(D531="","",IF(I531&lt;&gt;"",I531,TODAY())-D531)</f>
        <v/>
      </c>
    </row>
    <row r="532" customFormat="false" ht="15" hidden="false" customHeight="false" outlineLevel="0" collapsed="false">
      <c r="A532" s="9"/>
      <c r="B532" s="9"/>
      <c r="C532" s="9"/>
      <c r="D532" s="34"/>
      <c r="E532" s="9"/>
      <c r="F532" s="35"/>
      <c r="G532" s="35"/>
      <c r="H532" s="35"/>
      <c r="I532" s="34"/>
      <c r="J532" s="35"/>
      <c r="K532" s="35"/>
      <c r="L532" s="39" t="str">
        <f aca="false">IF(A532="","",IF(I532&lt;&gt;"","Vendu","En stock"))</f>
        <v/>
      </c>
      <c r="M532" s="17" t="str">
        <f aca="false">IF(J532="","",J532-F532-G532-K532)</f>
        <v/>
      </c>
      <c r="N532" s="40" t="str">
        <f aca="false">IF(OR(J532="",J532=0),"",M532/J532)</f>
        <v/>
      </c>
      <c r="O532" s="41" t="str">
        <f aca="true">IF(D532="","",IF(I532&lt;&gt;"",I532,TODAY())-D532)</f>
        <v/>
      </c>
    </row>
    <row r="533" customFormat="false" ht="15" hidden="false" customHeight="false" outlineLevel="0" collapsed="false">
      <c r="A533" s="9"/>
      <c r="B533" s="9"/>
      <c r="C533" s="9"/>
      <c r="D533" s="34"/>
      <c r="E533" s="9"/>
      <c r="F533" s="35"/>
      <c r="G533" s="35"/>
      <c r="H533" s="35"/>
      <c r="I533" s="34"/>
      <c r="J533" s="35"/>
      <c r="K533" s="35"/>
      <c r="L533" s="39" t="str">
        <f aca="false">IF(A533="","",IF(I533&lt;&gt;"","Vendu","En stock"))</f>
        <v/>
      </c>
      <c r="M533" s="17" t="str">
        <f aca="false">IF(J533="","",J533-F533-G533-K533)</f>
        <v/>
      </c>
      <c r="N533" s="40" t="str">
        <f aca="false">IF(OR(J533="",J533=0),"",M533/J533)</f>
        <v/>
      </c>
      <c r="O533" s="41" t="str">
        <f aca="true">IF(D533="","",IF(I533&lt;&gt;"",I533,TODAY())-D533)</f>
        <v/>
      </c>
    </row>
    <row r="534" customFormat="false" ht="15" hidden="false" customHeight="false" outlineLevel="0" collapsed="false">
      <c r="A534" s="9"/>
      <c r="B534" s="9"/>
      <c r="C534" s="9"/>
      <c r="D534" s="34"/>
      <c r="E534" s="9"/>
      <c r="F534" s="35"/>
      <c r="G534" s="35"/>
      <c r="H534" s="35"/>
      <c r="I534" s="34"/>
      <c r="J534" s="35"/>
      <c r="K534" s="35"/>
      <c r="L534" s="39" t="str">
        <f aca="false">IF(A534="","",IF(I534&lt;&gt;"","Vendu","En stock"))</f>
        <v/>
      </c>
      <c r="M534" s="17" t="str">
        <f aca="false">IF(J534="","",J534-F534-G534-K534)</f>
        <v/>
      </c>
      <c r="N534" s="40" t="str">
        <f aca="false">IF(OR(J534="",J534=0),"",M534/J534)</f>
        <v/>
      </c>
      <c r="O534" s="41" t="str">
        <f aca="true">IF(D534="","",IF(I534&lt;&gt;"",I534,TODAY())-D534)</f>
        <v/>
      </c>
    </row>
    <row r="535" customFormat="false" ht="15" hidden="false" customHeight="false" outlineLevel="0" collapsed="false">
      <c r="A535" s="9"/>
      <c r="B535" s="9"/>
      <c r="C535" s="9"/>
      <c r="D535" s="34"/>
      <c r="E535" s="9"/>
      <c r="F535" s="35"/>
      <c r="G535" s="35"/>
      <c r="H535" s="35"/>
      <c r="I535" s="34"/>
      <c r="J535" s="35"/>
      <c r="K535" s="35"/>
      <c r="L535" s="39" t="str">
        <f aca="false">IF(A535="","",IF(I535&lt;&gt;"","Vendu","En stock"))</f>
        <v/>
      </c>
      <c r="M535" s="17" t="str">
        <f aca="false">IF(J535="","",J535-F535-G535-K535)</f>
        <v/>
      </c>
      <c r="N535" s="40" t="str">
        <f aca="false">IF(OR(J535="",J535=0),"",M535/J535)</f>
        <v/>
      </c>
      <c r="O535" s="41" t="str">
        <f aca="true">IF(D535="","",IF(I535&lt;&gt;"",I535,TODAY())-D535)</f>
        <v/>
      </c>
    </row>
    <row r="536" customFormat="false" ht="15" hidden="false" customHeight="false" outlineLevel="0" collapsed="false">
      <c r="A536" s="9"/>
      <c r="B536" s="9"/>
      <c r="C536" s="9"/>
      <c r="D536" s="34"/>
      <c r="E536" s="9"/>
      <c r="F536" s="35"/>
      <c r="G536" s="35"/>
      <c r="H536" s="35"/>
      <c r="I536" s="34"/>
      <c r="J536" s="35"/>
      <c r="K536" s="35"/>
      <c r="L536" s="39" t="str">
        <f aca="false">IF(A536="","",IF(I536&lt;&gt;"","Vendu","En stock"))</f>
        <v/>
      </c>
      <c r="M536" s="17" t="str">
        <f aca="false">IF(J536="","",J536-F536-G536-K536)</f>
        <v/>
      </c>
      <c r="N536" s="40" t="str">
        <f aca="false">IF(OR(J536="",J536=0),"",M536/J536)</f>
        <v/>
      </c>
      <c r="O536" s="41" t="str">
        <f aca="true">IF(D536="","",IF(I536&lt;&gt;"",I536,TODAY())-D536)</f>
        <v/>
      </c>
    </row>
    <row r="537" customFormat="false" ht="15" hidden="false" customHeight="false" outlineLevel="0" collapsed="false">
      <c r="A537" s="9"/>
      <c r="B537" s="9"/>
      <c r="C537" s="9"/>
      <c r="D537" s="34"/>
      <c r="E537" s="9"/>
      <c r="F537" s="35"/>
      <c r="G537" s="35"/>
      <c r="H537" s="35"/>
      <c r="I537" s="34"/>
      <c r="J537" s="35"/>
      <c r="K537" s="35"/>
      <c r="L537" s="39" t="str">
        <f aca="false">IF(A537="","",IF(I537&lt;&gt;"","Vendu","En stock"))</f>
        <v/>
      </c>
      <c r="M537" s="17" t="str">
        <f aca="false">IF(J537="","",J537-F537-G537-K537)</f>
        <v/>
      </c>
      <c r="N537" s="40" t="str">
        <f aca="false">IF(OR(J537="",J537=0),"",M537/J537)</f>
        <v/>
      </c>
      <c r="O537" s="41" t="str">
        <f aca="true">IF(D537="","",IF(I537&lt;&gt;"",I537,TODAY())-D537)</f>
        <v/>
      </c>
    </row>
    <row r="538" customFormat="false" ht="15" hidden="false" customHeight="false" outlineLevel="0" collapsed="false">
      <c r="A538" s="9"/>
      <c r="B538" s="9"/>
      <c r="C538" s="9"/>
      <c r="D538" s="34"/>
      <c r="E538" s="9"/>
      <c r="F538" s="35"/>
      <c r="G538" s="35"/>
      <c r="H538" s="35"/>
      <c r="I538" s="34"/>
      <c r="J538" s="35"/>
      <c r="K538" s="35"/>
      <c r="L538" s="39" t="str">
        <f aca="false">IF(A538="","",IF(I538&lt;&gt;"","Vendu","En stock"))</f>
        <v/>
      </c>
      <c r="M538" s="17" t="str">
        <f aca="false">IF(J538="","",J538-F538-G538-K538)</f>
        <v/>
      </c>
      <c r="N538" s="40" t="str">
        <f aca="false">IF(OR(J538="",J538=0),"",M538/J538)</f>
        <v/>
      </c>
      <c r="O538" s="41" t="str">
        <f aca="true">IF(D538="","",IF(I538&lt;&gt;"",I538,TODAY())-D538)</f>
        <v/>
      </c>
    </row>
    <row r="539" customFormat="false" ht="15" hidden="false" customHeight="false" outlineLevel="0" collapsed="false">
      <c r="A539" s="9"/>
      <c r="B539" s="9"/>
      <c r="C539" s="9"/>
      <c r="D539" s="34"/>
      <c r="E539" s="9"/>
      <c r="F539" s="35"/>
      <c r="G539" s="35"/>
      <c r="H539" s="35"/>
      <c r="I539" s="34"/>
      <c r="J539" s="35"/>
      <c r="K539" s="35"/>
      <c r="L539" s="39" t="str">
        <f aca="false">IF(A539="","",IF(I539&lt;&gt;"","Vendu","En stock"))</f>
        <v/>
      </c>
      <c r="M539" s="17" t="str">
        <f aca="false">IF(J539="","",J539-F539-G539-K539)</f>
        <v/>
      </c>
      <c r="N539" s="40" t="str">
        <f aca="false">IF(OR(J539="",J539=0),"",M539/J539)</f>
        <v/>
      </c>
      <c r="O539" s="41" t="str">
        <f aca="true">IF(D539="","",IF(I539&lt;&gt;"",I539,TODAY())-D539)</f>
        <v/>
      </c>
    </row>
    <row r="540" customFormat="false" ht="15" hidden="false" customHeight="false" outlineLevel="0" collapsed="false">
      <c r="A540" s="9"/>
      <c r="B540" s="9"/>
      <c r="C540" s="9"/>
      <c r="D540" s="34"/>
      <c r="E540" s="9"/>
      <c r="F540" s="35"/>
      <c r="G540" s="35"/>
      <c r="H540" s="35"/>
      <c r="I540" s="34"/>
      <c r="J540" s="35"/>
      <c r="K540" s="35"/>
      <c r="L540" s="39" t="str">
        <f aca="false">IF(A540="","",IF(I540&lt;&gt;"","Vendu","En stock"))</f>
        <v/>
      </c>
      <c r="M540" s="17" t="str">
        <f aca="false">IF(J540="","",J540-F540-G540-K540)</f>
        <v/>
      </c>
      <c r="N540" s="40" t="str">
        <f aca="false">IF(OR(J540="",J540=0),"",M540/J540)</f>
        <v/>
      </c>
      <c r="O540" s="41" t="str">
        <f aca="true">IF(D540="","",IF(I540&lt;&gt;"",I540,TODAY())-D540)</f>
        <v/>
      </c>
    </row>
    <row r="541" customFormat="false" ht="15" hidden="false" customHeight="false" outlineLevel="0" collapsed="false">
      <c r="A541" s="9"/>
      <c r="B541" s="9"/>
      <c r="C541" s="9"/>
      <c r="D541" s="34"/>
      <c r="E541" s="9"/>
      <c r="F541" s="35"/>
      <c r="G541" s="35"/>
      <c r="H541" s="35"/>
      <c r="I541" s="34"/>
      <c r="J541" s="35"/>
      <c r="K541" s="35"/>
      <c r="L541" s="39" t="str">
        <f aca="false">IF(A541="","",IF(I541&lt;&gt;"","Vendu","En stock"))</f>
        <v/>
      </c>
      <c r="M541" s="17" t="str">
        <f aca="false">IF(J541="","",J541-F541-G541-K541)</f>
        <v/>
      </c>
      <c r="N541" s="40" t="str">
        <f aca="false">IF(OR(J541="",J541=0),"",M541/J541)</f>
        <v/>
      </c>
      <c r="O541" s="41" t="str">
        <f aca="true">IF(D541="","",IF(I541&lt;&gt;"",I541,TODAY())-D541)</f>
        <v/>
      </c>
    </row>
    <row r="542" customFormat="false" ht="15" hidden="false" customHeight="false" outlineLevel="0" collapsed="false">
      <c r="A542" s="9"/>
      <c r="B542" s="9"/>
      <c r="C542" s="9"/>
      <c r="D542" s="34"/>
      <c r="E542" s="9"/>
      <c r="F542" s="35"/>
      <c r="G542" s="35"/>
      <c r="H542" s="35"/>
      <c r="I542" s="34"/>
      <c r="J542" s="35"/>
      <c r="K542" s="35"/>
      <c r="L542" s="39" t="str">
        <f aca="false">IF(A542="","",IF(I542&lt;&gt;"","Vendu","En stock"))</f>
        <v/>
      </c>
      <c r="M542" s="17" t="str">
        <f aca="false">IF(J542="","",J542-F542-G542-K542)</f>
        <v/>
      </c>
      <c r="N542" s="40" t="str">
        <f aca="false">IF(OR(J542="",J542=0),"",M542/J542)</f>
        <v/>
      </c>
      <c r="O542" s="41" t="str">
        <f aca="true">IF(D542="","",IF(I542&lt;&gt;"",I542,TODAY())-D542)</f>
        <v/>
      </c>
    </row>
    <row r="543" customFormat="false" ht="15" hidden="false" customHeight="false" outlineLevel="0" collapsed="false">
      <c r="A543" s="9"/>
      <c r="B543" s="9"/>
      <c r="C543" s="9"/>
      <c r="D543" s="34"/>
      <c r="E543" s="9"/>
      <c r="F543" s="35"/>
      <c r="G543" s="35"/>
      <c r="H543" s="35"/>
      <c r="I543" s="34"/>
      <c r="J543" s="35"/>
      <c r="K543" s="35"/>
      <c r="L543" s="39" t="str">
        <f aca="false">IF(A543="","",IF(I543&lt;&gt;"","Vendu","En stock"))</f>
        <v/>
      </c>
      <c r="M543" s="17" t="str">
        <f aca="false">IF(J543="","",J543-F543-G543-K543)</f>
        <v/>
      </c>
      <c r="N543" s="40" t="str">
        <f aca="false">IF(OR(J543="",J543=0),"",M543/J543)</f>
        <v/>
      </c>
      <c r="O543" s="41" t="str">
        <f aca="true">IF(D543="","",IF(I543&lt;&gt;"",I543,TODAY())-D543)</f>
        <v/>
      </c>
    </row>
    <row r="544" customFormat="false" ht="15" hidden="false" customHeight="false" outlineLevel="0" collapsed="false">
      <c r="A544" s="9"/>
      <c r="B544" s="9"/>
      <c r="C544" s="9"/>
      <c r="D544" s="34"/>
      <c r="E544" s="9"/>
      <c r="F544" s="35"/>
      <c r="G544" s="35"/>
      <c r="H544" s="35"/>
      <c r="I544" s="34"/>
      <c r="J544" s="35"/>
      <c r="K544" s="35"/>
      <c r="L544" s="39" t="str">
        <f aca="false">IF(A544="","",IF(I544&lt;&gt;"","Vendu","En stock"))</f>
        <v/>
      </c>
      <c r="M544" s="17" t="str">
        <f aca="false">IF(J544="","",J544-F544-G544-K544)</f>
        <v/>
      </c>
      <c r="N544" s="40" t="str">
        <f aca="false">IF(OR(J544="",J544=0),"",M544/J544)</f>
        <v/>
      </c>
      <c r="O544" s="41" t="str">
        <f aca="true">IF(D544="","",IF(I544&lt;&gt;"",I544,TODAY())-D544)</f>
        <v/>
      </c>
    </row>
    <row r="545" customFormat="false" ht="15" hidden="false" customHeight="false" outlineLevel="0" collapsed="false">
      <c r="A545" s="9"/>
      <c r="B545" s="9"/>
      <c r="C545" s="9"/>
      <c r="D545" s="34"/>
      <c r="E545" s="9"/>
      <c r="F545" s="35"/>
      <c r="G545" s="35"/>
      <c r="H545" s="35"/>
      <c r="I545" s="34"/>
      <c r="J545" s="35"/>
      <c r="K545" s="35"/>
      <c r="L545" s="39" t="str">
        <f aca="false">IF(A545="","",IF(I545&lt;&gt;"","Vendu","En stock"))</f>
        <v/>
      </c>
      <c r="M545" s="17" t="str">
        <f aca="false">IF(J545="","",J545-F545-G545-K545)</f>
        <v/>
      </c>
      <c r="N545" s="40" t="str">
        <f aca="false">IF(OR(J545="",J545=0),"",M545/J545)</f>
        <v/>
      </c>
      <c r="O545" s="41" t="str">
        <f aca="true">IF(D545="","",IF(I545&lt;&gt;"",I545,TODAY())-D545)</f>
        <v/>
      </c>
    </row>
    <row r="546" customFormat="false" ht="15" hidden="false" customHeight="false" outlineLevel="0" collapsed="false">
      <c r="A546" s="9"/>
      <c r="B546" s="9"/>
      <c r="C546" s="9"/>
      <c r="D546" s="34"/>
      <c r="E546" s="9"/>
      <c r="F546" s="35"/>
      <c r="G546" s="35"/>
      <c r="H546" s="35"/>
      <c r="I546" s="34"/>
      <c r="J546" s="35"/>
      <c r="K546" s="35"/>
      <c r="L546" s="39" t="str">
        <f aca="false">IF(A546="","",IF(I546&lt;&gt;"","Vendu","En stock"))</f>
        <v/>
      </c>
      <c r="M546" s="17" t="str">
        <f aca="false">IF(J546="","",J546-F546-G546-K546)</f>
        <v/>
      </c>
      <c r="N546" s="40" t="str">
        <f aca="false">IF(OR(J546="",J546=0),"",M546/J546)</f>
        <v/>
      </c>
      <c r="O546" s="41" t="str">
        <f aca="true">IF(D546="","",IF(I546&lt;&gt;"",I546,TODAY())-D546)</f>
        <v/>
      </c>
    </row>
    <row r="547" customFormat="false" ht="15" hidden="false" customHeight="false" outlineLevel="0" collapsed="false">
      <c r="A547" s="9"/>
      <c r="B547" s="9"/>
      <c r="C547" s="9"/>
      <c r="D547" s="34"/>
      <c r="E547" s="9"/>
      <c r="F547" s="35"/>
      <c r="G547" s="35"/>
      <c r="H547" s="35"/>
      <c r="I547" s="34"/>
      <c r="J547" s="35"/>
      <c r="K547" s="35"/>
      <c r="L547" s="39" t="str">
        <f aca="false">IF(A547="","",IF(I547&lt;&gt;"","Vendu","En stock"))</f>
        <v/>
      </c>
      <c r="M547" s="17" t="str">
        <f aca="false">IF(J547="","",J547-F547-G547-K547)</f>
        <v/>
      </c>
      <c r="N547" s="40" t="str">
        <f aca="false">IF(OR(J547="",J547=0),"",M547/J547)</f>
        <v/>
      </c>
      <c r="O547" s="41" t="str">
        <f aca="true">IF(D547="","",IF(I547&lt;&gt;"",I547,TODAY())-D547)</f>
        <v/>
      </c>
    </row>
    <row r="548" customFormat="false" ht="15" hidden="false" customHeight="false" outlineLevel="0" collapsed="false">
      <c r="A548" s="9"/>
      <c r="B548" s="9"/>
      <c r="C548" s="9"/>
      <c r="D548" s="34"/>
      <c r="E548" s="9"/>
      <c r="F548" s="35"/>
      <c r="G548" s="35"/>
      <c r="H548" s="35"/>
      <c r="I548" s="34"/>
      <c r="J548" s="35"/>
      <c r="K548" s="35"/>
      <c r="L548" s="39" t="str">
        <f aca="false">IF(A548="","",IF(I548&lt;&gt;"","Vendu","En stock"))</f>
        <v/>
      </c>
      <c r="M548" s="17" t="str">
        <f aca="false">IF(J548="","",J548-F548-G548-K548)</f>
        <v/>
      </c>
      <c r="N548" s="40" t="str">
        <f aca="false">IF(OR(J548="",J548=0),"",M548/J548)</f>
        <v/>
      </c>
      <c r="O548" s="41" t="str">
        <f aca="true">IF(D548="","",IF(I548&lt;&gt;"",I548,TODAY())-D548)</f>
        <v/>
      </c>
    </row>
    <row r="549" customFormat="false" ht="15" hidden="false" customHeight="false" outlineLevel="0" collapsed="false">
      <c r="A549" s="9"/>
      <c r="B549" s="9"/>
      <c r="C549" s="9"/>
      <c r="D549" s="34"/>
      <c r="E549" s="9"/>
      <c r="F549" s="35"/>
      <c r="G549" s="35"/>
      <c r="H549" s="35"/>
      <c r="I549" s="34"/>
      <c r="J549" s="35"/>
      <c r="K549" s="35"/>
      <c r="L549" s="39" t="str">
        <f aca="false">IF(A549="","",IF(I549&lt;&gt;"","Vendu","En stock"))</f>
        <v/>
      </c>
      <c r="M549" s="17" t="str">
        <f aca="false">IF(J549="","",J549-F549-G549-K549)</f>
        <v/>
      </c>
      <c r="N549" s="40" t="str">
        <f aca="false">IF(OR(J549="",J549=0),"",M549/J549)</f>
        <v/>
      </c>
      <c r="O549" s="41" t="str">
        <f aca="true">IF(D549="","",IF(I549&lt;&gt;"",I549,TODAY())-D549)</f>
        <v/>
      </c>
    </row>
    <row r="550" customFormat="false" ht="15" hidden="false" customHeight="false" outlineLevel="0" collapsed="false">
      <c r="A550" s="9"/>
      <c r="B550" s="9"/>
      <c r="C550" s="9"/>
      <c r="D550" s="34"/>
      <c r="E550" s="9"/>
      <c r="F550" s="35"/>
      <c r="G550" s="35"/>
      <c r="H550" s="35"/>
      <c r="I550" s="34"/>
      <c r="J550" s="35"/>
      <c r="K550" s="35"/>
      <c r="L550" s="39" t="str">
        <f aca="false">IF(A550="","",IF(I550&lt;&gt;"","Vendu","En stock"))</f>
        <v/>
      </c>
      <c r="M550" s="17" t="str">
        <f aca="false">IF(J550="","",J550-F550-G550-K550)</f>
        <v/>
      </c>
      <c r="N550" s="40" t="str">
        <f aca="false">IF(OR(J550="",J550=0),"",M550/J550)</f>
        <v/>
      </c>
      <c r="O550" s="41" t="str">
        <f aca="true">IF(D550="","",IF(I550&lt;&gt;"",I550,TODAY())-D550)</f>
        <v/>
      </c>
    </row>
    <row r="551" customFormat="false" ht="15" hidden="false" customHeight="false" outlineLevel="0" collapsed="false">
      <c r="A551" s="9"/>
      <c r="B551" s="9"/>
      <c r="C551" s="9"/>
      <c r="D551" s="34"/>
      <c r="E551" s="9"/>
      <c r="F551" s="35"/>
      <c r="G551" s="35"/>
      <c r="H551" s="35"/>
      <c r="I551" s="34"/>
      <c r="J551" s="35"/>
      <c r="K551" s="35"/>
      <c r="L551" s="39" t="str">
        <f aca="false">IF(A551="","",IF(I551&lt;&gt;"","Vendu","En stock"))</f>
        <v/>
      </c>
      <c r="M551" s="17" t="str">
        <f aca="false">IF(J551="","",J551-F551-G551-K551)</f>
        <v/>
      </c>
      <c r="N551" s="40" t="str">
        <f aca="false">IF(OR(J551="",J551=0),"",M551/J551)</f>
        <v/>
      </c>
      <c r="O551" s="41" t="str">
        <f aca="true">IF(D551="","",IF(I551&lt;&gt;"",I551,TODAY())-D551)</f>
        <v/>
      </c>
    </row>
    <row r="552" customFormat="false" ht="15" hidden="false" customHeight="false" outlineLevel="0" collapsed="false">
      <c r="A552" s="9"/>
      <c r="B552" s="9"/>
      <c r="C552" s="9"/>
      <c r="D552" s="34"/>
      <c r="E552" s="9"/>
      <c r="F552" s="35"/>
      <c r="G552" s="35"/>
      <c r="H552" s="35"/>
      <c r="I552" s="34"/>
      <c r="J552" s="35"/>
      <c r="K552" s="35"/>
      <c r="L552" s="39" t="str">
        <f aca="false">IF(A552="","",IF(I552&lt;&gt;"","Vendu","En stock"))</f>
        <v/>
      </c>
      <c r="M552" s="17" t="str">
        <f aca="false">IF(J552="","",J552-F552-G552-K552)</f>
        <v/>
      </c>
      <c r="N552" s="40" t="str">
        <f aca="false">IF(OR(J552="",J552=0),"",M552/J552)</f>
        <v/>
      </c>
      <c r="O552" s="41" t="str">
        <f aca="true">IF(D552="","",IF(I552&lt;&gt;"",I552,TODAY())-D552)</f>
        <v/>
      </c>
    </row>
    <row r="553" customFormat="false" ht="15" hidden="false" customHeight="false" outlineLevel="0" collapsed="false">
      <c r="A553" s="9"/>
      <c r="B553" s="9"/>
      <c r="C553" s="9"/>
      <c r="D553" s="34"/>
      <c r="E553" s="9"/>
      <c r="F553" s="35"/>
      <c r="G553" s="35"/>
      <c r="H553" s="35"/>
      <c r="I553" s="34"/>
      <c r="J553" s="35"/>
      <c r="K553" s="35"/>
      <c r="L553" s="39" t="str">
        <f aca="false">IF(A553="","",IF(I553&lt;&gt;"","Vendu","En stock"))</f>
        <v/>
      </c>
      <c r="M553" s="17" t="str">
        <f aca="false">IF(J553="","",J553-F553-G553-K553)</f>
        <v/>
      </c>
      <c r="N553" s="40" t="str">
        <f aca="false">IF(OR(J553="",J553=0),"",M553/J553)</f>
        <v/>
      </c>
      <c r="O553" s="41" t="str">
        <f aca="true">IF(D553="","",IF(I553&lt;&gt;"",I553,TODAY())-D553)</f>
        <v/>
      </c>
    </row>
    <row r="554" customFormat="false" ht="15" hidden="false" customHeight="false" outlineLevel="0" collapsed="false">
      <c r="A554" s="9"/>
      <c r="B554" s="9"/>
      <c r="C554" s="9"/>
      <c r="D554" s="34"/>
      <c r="E554" s="9"/>
      <c r="F554" s="35"/>
      <c r="G554" s="35"/>
      <c r="H554" s="35"/>
      <c r="I554" s="34"/>
      <c r="J554" s="35"/>
      <c r="K554" s="35"/>
      <c r="L554" s="39" t="str">
        <f aca="false">IF(A554="","",IF(I554&lt;&gt;"","Vendu","En stock"))</f>
        <v/>
      </c>
      <c r="M554" s="17" t="str">
        <f aca="false">IF(J554="","",J554-F554-G554-K554)</f>
        <v/>
      </c>
      <c r="N554" s="40" t="str">
        <f aca="false">IF(OR(J554="",J554=0),"",M554/J554)</f>
        <v/>
      </c>
      <c r="O554" s="41" t="str">
        <f aca="true">IF(D554="","",IF(I554&lt;&gt;"",I554,TODAY())-D554)</f>
        <v/>
      </c>
    </row>
    <row r="555" customFormat="false" ht="15" hidden="false" customHeight="false" outlineLevel="0" collapsed="false">
      <c r="A555" s="9"/>
      <c r="B555" s="9"/>
      <c r="C555" s="9"/>
      <c r="D555" s="34"/>
      <c r="E555" s="9"/>
      <c r="F555" s="35"/>
      <c r="G555" s="35"/>
      <c r="H555" s="35"/>
      <c r="I555" s="34"/>
      <c r="J555" s="35"/>
      <c r="K555" s="35"/>
      <c r="L555" s="39" t="str">
        <f aca="false">IF(A555="","",IF(I555&lt;&gt;"","Vendu","En stock"))</f>
        <v/>
      </c>
      <c r="M555" s="17" t="str">
        <f aca="false">IF(J555="","",J555-F555-G555-K555)</f>
        <v/>
      </c>
      <c r="N555" s="40" t="str">
        <f aca="false">IF(OR(J555="",J555=0),"",M555/J555)</f>
        <v/>
      </c>
      <c r="O555" s="41" t="str">
        <f aca="true">IF(D555="","",IF(I555&lt;&gt;"",I555,TODAY())-D555)</f>
        <v/>
      </c>
    </row>
    <row r="556" customFormat="false" ht="15" hidden="false" customHeight="false" outlineLevel="0" collapsed="false">
      <c r="A556" s="9"/>
      <c r="B556" s="9"/>
      <c r="C556" s="9"/>
      <c r="D556" s="34"/>
      <c r="E556" s="9"/>
      <c r="F556" s="35"/>
      <c r="G556" s="35"/>
      <c r="H556" s="35"/>
      <c r="I556" s="34"/>
      <c r="J556" s="35"/>
      <c r="K556" s="35"/>
      <c r="L556" s="39" t="str">
        <f aca="false">IF(A556="","",IF(I556&lt;&gt;"","Vendu","En stock"))</f>
        <v/>
      </c>
      <c r="M556" s="17" t="str">
        <f aca="false">IF(J556="","",J556-F556-G556-K556)</f>
        <v/>
      </c>
      <c r="N556" s="40" t="str">
        <f aca="false">IF(OR(J556="",J556=0),"",M556/J556)</f>
        <v/>
      </c>
      <c r="O556" s="41" t="str">
        <f aca="true">IF(D556="","",IF(I556&lt;&gt;"",I556,TODAY())-D556)</f>
        <v/>
      </c>
    </row>
    <row r="557" customFormat="false" ht="15" hidden="false" customHeight="false" outlineLevel="0" collapsed="false">
      <c r="A557" s="9"/>
      <c r="B557" s="9"/>
      <c r="C557" s="9"/>
      <c r="D557" s="34"/>
      <c r="E557" s="9"/>
      <c r="F557" s="35"/>
      <c r="G557" s="35"/>
      <c r="H557" s="35"/>
      <c r="I557" s="34"/>
      <c r="J557" s="35"/>
      <c r="K557" s="35"/>
      <c r="L557" s="39" t="str">
        <f aca="false">IF(A557="","",IF(I557&lt;&gt;"","Vendu","En stock"))</f>
        <v/>
      </c>
      <c r="M557" s="17" t="str">
        <f aca="false">IF(J557="","",J557-F557-G557-K557)</f>
        <v/>
      </c>
      <c r="N557" s="40" t="str">
        <f aca="false">IF(OR(J557="",J557=0),"",M557/J557)</f>
        <v/>
      </c>
      <c r="O557" s="41" t="str">
        <f aca="true">IF(D557="","",IF(I557&lt;&gt;"",I557,TODAY())-D557)</f>
        <v/>
      </c>
    </row>
    <row r="558" customFormat="false" ht="15" hidden="false" customHeight="false" outlineLevel="0" collapsed="false">
      <c r="A558" s="9"/>
      <c r="B558" s="9"/>
      <c r="C558" s="9"/>
      <c r="D558" s="34"/>
      <c r="E558" s="9"/>
      <c r="F558" s="35"/>
      <c r="G558" s="35"/>
      <c r="H558" s="35"/>
      <c r="I558" s="34"/>
      <c r="J558" s="35"/>
      <c r="K558" s="35"/>
      <c r="L558" s="39" t="str">
        <f aca="false">IF(A558="","",IF(I558&lt;&gt;"","Vendu","En stock"))</f>
        <v/>
      </c>
      <c r="M558" s="17" t="str">
        <f aca="false">IF(J558="","",J558-F558-G558-K558)</f>
        <v/>
      </c>
      <c r="N558" s="40" t="str">
        <f aca="false">IF(OR(J558="",J558=0),"",M558/J558)</f>
        <v/>
      </c>
      <c r="O558" s="41" t="str">
        <f aca="true">IF(D558="","",IF(I558&lt;&gt;"",I558,TODAY())-D558)</f>
        <v/>
      </c>
    </row>
    <row r="559" customFormat="false" ht="15" hidden="false" customHeight="false" outlineLevel="0" collapsed="false">
      <c r="A559" s="9"/>
      <c r="B559" s="9"/>
      <c r="C559" s="9"/>
      <c r="D559" s="34"/>
      <c r="E559" s="9"/>
      <c r="F559" s="35"/>
      <c r="G559" s="35"/>
      <c r="H559" s="35"/>
      <c r="I559" s="34"/>
      <c r="J559" s="35"/>
      <c r="K559" s="35"/>
      <c r="L559" s="39" t="str">
        <f aca="false">IF(A559="","",IF(I559&lt;&gt;"","Vendu","En stock"))</f>
        <v/>
      </c>
      <c r="M559" s="17" t="str">
        <f aca="false">IF(J559="","",J559-F559-G559-K559)</f>
        <v/>
      </c>
      <c r="N559" s="40" t="str">
        <f aca="false">IF(OR(J559="",J559=0),"",M559/J559)</f>
        <v/>
      </c>
      <c r="O559" s="41" t="str">
        <f aca="true">IF(D559="","",IF(I559&lt;&gt;"",I559,TODAY())-D559)</f>
        <v/>
      </c>
    </row>
    <row r="560" customFormat="false" ht="15" hidden="false" customHeight="false" outlineLevel="0" collapsed="false">
      <c r="A560" s="9"/>
      <c r="B560" s="9"/>
      <c r="C560" s="9"/>
      <c r="D560" s="34"/>
      <c r="E560" s="9"/>
      <c r="F560" s="35"/>
      <c r="G560" s="35"/>
      <c r="H560" s="35"/>
      <c r="I560" s="34"/>
      <c r="J560" s="35"/>
      <c r="K560" s="35"/>
      <c r="L560" s="39" t="str">
        <f aca="false">IF(A560="","",IF(I560&lt;&gt;"","Vendu","En stock"))</f>
        <v/>
      </c>
      <c r="M560" s="17" t="str">
        <f aca="false">IF(J560="","",J560-F560-G560-K560)</f>
        <v/>
      </c>
      <c r="N560" s="40" t="str">
        <f aca="false">IF(OR(J560="",J560=0),"",M560/J560)</f>
        <v/>
      </c>
      <c r="O560" s="41" t="str">
        <f aca="true">IF(D560="","",IF(I560&lt;&gt;"",I560,TODAY())-D560)</f>
        <v/>
      </c>
    </row>
    <row r="561" customFormat="false" ht="15" hidden="false" customHeight="false" outlineLevel="0" collapsed="false">
      <c r="A561" s="9"/>
      <c r="B561" s="9"/>
      <c r="C561" s="9"/>
      <c r="D561" s="34"/>
      <c r="E561" s="9"/>
      <c r="F561" s="35"/>
      <c r="G561" s="35"/>
      <c r="H561" s="35"/>
      <c r="I561" s="34"/>
      <c r="J561" s="35"/>
      <c r="K561" s="35"/>
      <c r="L561" s="39" t="str">
        <f aca="false">IF(A561="","",IF(I561&lt;&gt;"","Vendu","En stock"))</f>
        <v/>
      </c>
      <c r="M561" s="17" t="str">
        <f aca="false">IF(J561="","",J561-F561-G561-K561)</f>
        <v/>
      </c>
      <c r="N561" s="40" t="str">
        <f aca="false">IF(OR(J561="",J561=0),"",M561/J561)</f>
        <v/>
      </c>
      <c r="O561" s="41" t="str">
        <f aca="true">IF(D561="","",IF(I561&lt;&gt;"",I561,TODAY())-D561)</f>
        <v/>
      </c>
    </row>
    <row r="562" customFormat="false" ht="15" hidden="false" customHeight="false" outlineLevel="0" collapsed="false">
      <c r="A562" s="9"/>
      <c r="B562" s="9"/>
      <c r="C562" s="9"/>
      <c r="D562" s="34"/>
      <c r="E562" s="9"/>
      <c r="F562" s="35"/>
      <c r="G562" s="35"/>
      <c r="H562" s="35"/>
      <c r="I562" s="34"/>
      <c r="J562" s="35"/>
      <c r="K562" s="35"/>
      <c r="L562" s="39" t="str">
        <f aca="false">IF(A562="","",IF(I562&lt;&gt;"","Vendu","En stock"))</f>
        <v/>
      </c>
      <c r="M562" s="17" t="str">
        <f aca="false">IF(J562="","",J562-F562-G562-K562)</f>
        <v/>
      </c>
      <c r="N562" s="40" t="str">
        <f aca="false">IF(OR(J562="",J562=0),"",M562/J562)</f>
        <v/>
      </c>
      <c r="O562" s="41" t="str">
        <f aca="true">IF(D562="","",IF(I562&lt;&gt;"",I562,TODAY())-D562)</f>
        <v/>
      </c>
    </row>
    <row r="563" customFormat="false" ht="15" hidden="false" customHeight="false" outlineLevel="0" collapsed="false">
      <c r="A563" s="9"/>
      <c r="B563" s="9"/>
      <c r="C563" s="9"/>
      <c r="D563" s="34"/>
      <c r="E563" s="9"/>
      <c r="F563" s="35"/>
      <c r="G563" s="35"/>
      <c r="H563" s="35"/>
      <c r="I563" s="34"/>
      <c r="J563" s="35"/>
      <c r="K563" s="35"/>
      <c r="L563" s="39" t="str">
        <f aca="false">IF(A563="","",IF(I563&lt;&gt;"","Vendu","En stock"))</f>
        <v/>
      </c>
      <c r="M563" s="17" t="str">
        <f aca="false">IF(J563="","",J563-F563-G563-K563)</f>
        <v/>
      </c>
      <c r="N563" s="40" t="str">
        <f aca="false">IF(OR(J563="",J563=0),"",M563/J563)</f>
        <v/>
      </c>
      <c r="O563" s="41" t="str">
        <f aca="true">IF(D563="","",IF(I563&lt;&gt;"",I563,TODAY())-D563)</f>
        <v/>
      </c>
    </row>
    <row r="564" customFormat="false" ht="15" hidden="false" customHeight="false" outlineLevel="0" collapsed="false">
      <c r="A564" s="9"/>
      <c r="B564" s="9"/>
      <c r="C564" s="9"/>
      <c r="D564" s="34"/>
      <c r="E564" s="9"/>
      <c r="F564" s="35"/>
      <c r="G564" s="35"/>
      <c r="H564" s="35"/>
      <c r="I564" s="34"/>
      <c r="J564" s="35"/>
      <c r="K564" s="35"/>
      <c r="L564" s="39" t="str">
        <f aca="false">IF(A564="","",IF(I564&lt;&gt;"","Vendu","En stock"))</f>
        <v/>
      </c>
      <c r="M564" s="17" t="str">
        <f aca="false">IF(J564="","",J564-F564-G564-K564)</f>
        <v/>
      </c>
      <c r="N564" s="40" t="str">
        <f aca="false">IF(OR(J564="",J564=0),"",M564/J564)</f>
        <v/>
      </c>
      <c r="O564" s="41" t="str">
        <f aca="true">IF(D564="","",IF(I564&lt;&gt;"",I564,TODAY())-D564)</f>
        <v/>
      </c>
    </row>
    <row r="565" customFormat="false" ht="15" hidden="false" customHeight="false" outlineLevel="0" collapsed="false">
      <c r="A565" s="9"/>
      <c r="B565" s="9"/>
      <c r="C565" s="9"/>
      <c r="D565" s="34"/>
      <c r="E565" s="9"/>
      <c r="F565" s="35"/>
      <c r="G565" s="35"/>
      <c r="H565" s="35"/>
      <c r="I565" s="34"/>
      <c r="J565" s="35"/>
      <c r="K565" s="35"/>
      <c r="L565" s="39" t="str">
        <f aca="false">IF(A565="","",IF(I565&lt;&gt;"","Vendu","En stock"))</f>
        <v/>
      </c>
      <c r="M565" s="17" t="str">
        <f aca="false">IF(J565="","",J565-F565-G565-K565)</f>
        <v/>
      </c>
      <c r="N565" s="40" t="str">
        <f aca="false">IF(OR(J565="",J565=0),"",M565/J565)</f>
        <v/>
      </c>
      <c r="O565" s="41" t="str">
        <f aca="true">IF(D565="","",IF(I565&lt;&gt;"",I565,TODAY())-D565)</f>
        <v/>
      </c>
    </row>
    <row r="566" customFormat="false" ht="15" hidden="false" customHeight="false" outlineLevel="0" collapsed="false">
      <c r="A566" s="9"/>
      <c r="B566" s="9"/>
      <c r="C566" s="9"/>
      <c r="D566" s="34"/>
      <c r="E566" s="9"/>
      <c r="F566" s="35"/>
      <c r="G566" s="35"/>
      <c r="H566" s="35"/>
      <c r="I566" s="34"/>
      <c r="J566" s="35"/>
      <c r="K566" s="35"/>
      <c r="L566" s="39" t="str">
        <f aca="false">IF(A566="","",IF(I566&lt;&gt;"","Vendu","En stock"))</f>
        <v/>
      </c>
      <c r="M566" s="17" t="str">
        <f aca="false">IF(J566="","",J566-F566-G566-K566)</f>
        <v/>
      </c>
      <c r="N566" s="40" t="str">
        <f aca="false">IF(OR(J566="",J566=0),"",M566/J566)</f>
        <v/>
      </c>
      <c r="O566" s="41" t="str">
        <f aca="true">IF(D566="","",IF(I566&lt;&gt;"",I566,TODAY())-D566)</f>
        <v/>
      </c>
    </row>
    <row r="567" customFormat="false" ht="15" hidden="false" customHeight="false" outlineLevel="0" collapsed="false">
      <c r="A567" s="9"/>
      <c r="B567" s="9"/>
      <c r="C567" s="9"/>
      <c r="D567" s="34"/>
      <c r="E567" s="9"/>
      <c r="F567" s="35"/>
      <c r="G567" s="35"/>
      <c r="H567" s="35"/>
      <c r="I567" s="34"/>
      <c r="J567" s="35"/>
      <c r="K567" s="35"/>
      <c r="L567" s="39" t="str">
        <f aca="false">IF(A567="","",IF(I567&lt;&gt;"","Vendu","En stock"))</f>
        <v/>
      </c>
      <c r="M567" s="17" t="str">
        <f aca="false">IF(J567="","",J567-F567-G567-K567)</f>
        <v/>
      </c>
      <c r="N567" s="40" t="str">
        <f aca="false">IF(OR(J567="",J567=0),"",M567/J567)</f>
        <v/>
      </c>
      <c r="O567" s="41" t="str">
        <f aca="true">IF(D567="","",IF(I567&lt;&gt;"",I567,TODAY())-D567)</f>
        <v/>
      </c>
    </row>
    <row r="568" customFormat="false" ht="15" hidden="false" customHeight="false" outlineLevel="0" collapsed="false">
      <c r="A568" s="9"/>
      <c r="B568" s="9"/>
      <c r="C568" s="9"/>
      <c r="D568" s="34"/>
      <c r="E568" s="9"/>
      <c r="F568" s="35"/>
      <c r="G568" s="35"/>
      <c r="H568" s="35"/>
      <c r="I568" s="34"/>
      <c r="J568" s="35"/>
      <c r="K568" s="35"/>
      <c r="L568" s="39" t="str">
        <f aca="false">IF(A568="","",IF(I568&lt;&gt;"","Vendu","En stock"))</f>
        <v/>
      </c>
      <c r="M568" s="17" t="str">
        <f aca="false">IF(J568="","",J568-F568-G568-K568)</f>
        <v/>
      </c>
      <c r="N568" s="40" t="str">
        <f aca="false">IF(OR(J568="",J568=0),"",M568/J568)</f>
        <v/>
      </c>
      <c r="O568" s="41" t="str">
        <f aca="true">IF(D568="","",IF(I568&lt;&gt;"",I568,TODAY())-D568)</f>
        <v/>
      </c>
    </row>
    <row r="569" customFormat="false" ht="15" hidden="false" customHeight="false" outlineLevel="0" collapsed="false">
      <c r="A569" s="9"/>
      <c r="B569" s="9"/>
      <c r="C569" s="9"/>
      <c r="D569" s="34"/>
      <c r="E569" s="9"/>
      <c r="F569" s="35"/>
      <c r="G569" s="35"/>
      <c r="H569" s="35"/>
      <c r="I569" s="34"/>
      <c r="J569" s="35"/>
      <c r="K569" s="35"/>
      <c r="L569" s="39" t="str">
        <f aca="false">IF(A569="","",IF(I569&lt;&gt;"","Vendu","En stock"))</f>
        <v/>
      </c>
      <c r="M569" s="17" t="str">
        <f aca="false">IF(J569="","",J569-F569-G569-K569)</f>
        <v/>
      </c>
      <c r="N569" s="40" t="str">
        <f aca="false">IF(OR(J569="",J569=0),"",M569/J569)</f>
        <v/>
      </c>
      <c r="O569" s="41" t="str">
        <f aca="true">IF(D569="","",IF(I569&lt;&gt;"",I569,TODAY())-D569)</f>
        <v/>
      </c>
    </row>
    <row r="570" customFormat="false" ht="15" hidden="false" customHeight="false" outlineLevel="0" collapsed="false">
      <c r="A570" s="9"/>
      <c r="B570" s="9"/>
      <c r="C570" s="9"/>
      <c r="D570" s="34"/>
      <c r="E570" s="9"/>
      <c r="F570" s="35"/>
      <c r="G570" s="35"/>
      <c r="H570" s="35"/>
      <c r="I570" s="34"/>
      <c r="J570" s="35"/>
      <c r="K570" s="35"/>
      <c r="L570" s="39" t="str">
        <f aca="false">IF(A570="","",IF(I570&lt;&gt;"","Vendu","En stock"))</f>
        <v/>
      </c>
      <c r="M570" s="17" t="str">
        <f aca="false">IF(J570="","",J570-F570-G570-K570)</f>
        <v/>
      </c>
      <c r="N570" s="40" t="str">
        <f aca="false">IF(OR(J570="",J570=0),"",M570/J570)</f>
        <v/>
      </c>
      <c r="O570" s="41" t="str">
        <f aca="true">IF(D570="","",IF(I570&lt;&gt;"",I570,TODAY())-D570)</f>
        <v/>
      </c>
    </row>
    <row r="571" customFormat="false" ht="15" hidden="false" customHeight="false" outlineLevel="0" collapsed="false">
      <c r="A571" s="9"/>
      <c r="B571" s="9"/>
      <c r="C571" s="9"/>
      <c r="D571" s="34"/>
      <c r="E571" s="9"/>
      <c r="F571" s="35"/>
      <c r="G571" s="35"/>
      <c r="H571" s="35"/>
      <c r="I571" s="34"/>
      <c r="J571" s="35"/>
      <c r="K571" s="35"/>
      <c r="L571" s="39" t="str">
        <f aca="false">IF(A571="","",IF(I571&lt;&gt;"","Vendu","En stock"))</f>
        <v/>
      </c>
      <c r="M571" s="17" t="str">
        <f aca="false">IF(J571="","",J571-F571-G571-K571)</f>
        <v/>
      </c>
      <c r="N571" s="40" t="str">
        <f aca="false">IF(OR(J571="",J571=0),"",M571/J571)</f>
        <v/>
      </c>
      <c r="O571" s="41" t="str">
        <f aca="true">IF(D571="","",IF(I571&lt;&gt;"",I571,TODAY())-D571)</f>
        <v/>
      </c>
    </row>
    <row r="572" customFormat="false" ht="15" hidden="false" customHeight="false" outlineLevel="0" collapsed="false">
      <c r="A572" s="9"/>
      <c r="B572" s="9"/>
      <c r="C572" s="9"/>
      <c r="D572" s="34"/>
      <c r="E572" s="9"/>
      <c r="F572" s="35"/>
      <c r="G572" s="35"/>
      <c r="H572" s="35"/>
      <c r="I572" s="34"/>
      <c r="J572" s="35"/>
      <c r="K572" s="35"/>
      <c r="L572" s="39" t="str">
        <f aca="false">IF(A572="","",IF(I572&lt;&gt;"","Vendu","En stock"))</f>
        <v/>
      </c>
      <c r="M572" s="17" t="str">
        <f aca="false">IF(J572="","",J572-F572-G572-K572)</f>
        <v/>
      </c>
      <c r="N572" s="40" t="str">
        <f aca="false">IF(OR(J572="",J572=0),"",M572/J572)</f>
        <v/>
      </c>
      <c r="O572" s="41" t="str">
        <f aca="true">IF(D572="","",IF(I572&lt;&gt;"",I572,TODAY())-D572)</f>
        <v/>
      </c>
    </row>
    <row r="573" customFormat="false" ht="15" hidden="false" customHeight="false" outlineLevel="0" collapsed="false">
      <c r="A573" s="9"/>
      <c r="B573" s="9"/>
      <c r="C573" s="9"/>
      <c r="D573" s="34"/>
      <c r="E573" s="9"/>
      <c r="F573" s="35"/>
      <c r="G573" s="35"/>
      <c r="H573" s="35"/>
      <c r="I573" s="34"/>
      <c r="J573" s="35"/>
      <c r="K573" s="35"/>
      <c r="L573" s="39" t="str">
        <f aca="false">IF(A573="","",IF(I573&lt;&gt;"","Vendu","En stock"))</f>
        <v/>
      </c>
      <c r="M573" s="17" t="str">
        <f aca="false">IF(J573="","",J573-F573-G573-K573)</f>
        <v/>
      </c>
      <c r="N573" s="40" t="str">
        <f aca="false">IF(OR(J573="",J573=0),"",M573/J573)</f>
        <v/>
      </c>
      <c r="O573" s="41" t="str">
        <f aca="true">IF(D573="","",IF(I573&lt;&gt;"",I573,TODAY())-D573)</f>
        <v/>
      </c>
    </row>
    <row r="574" customFormat="false" ht="15" hidden="false" customHeight="false" outlineLevel="0" collapsed="false">
      <c r="A574" s="9"/>
      <c r="B574" s="9"/>
      <c r="C574" s="9"/>
      <c r="D574" s="34"/>
      <c r="E574" s="9"/>
      <c r="F574" s="35"/>
      <c r="G574" s="35"/>
      <c r="H574" s="35"/>
      <c r="I574" s="34"/>
      <c r="J574" s="35"/>
      <c r="K574" s="35"/>
      <c r="L574" s="39" t="str">
        <f aca="false">IF(A574="","",IF(I574&lt;&gt;"","Vendu","En stock"))</f>
        <v/>
      </c>
      <c r="M574" s="17" t="str">
        <f aca="false">IF(J574="","",J574-F574-G574-K574)</f>
        <v/>
      </c>
      <c r="N574" s="40" t="str">
        <f aca="false">IF(OR(J574="",J574=0),"",M574/J574)</f>
        <v/>
      </c>
      <c r="O574" s="41" t="str">
        <f aca="true">IF(D574="","",IF(I574&lt;&gt;"",I574,TODAY())-D574)</f>
        <v/>
      </c>
    </row>
    <row r="575" customFormat="false" ht="15" hidden="false" customHeight="false" outlineLevel="0" collapsed="false">
      <c r="A575" s="9"/>
      <c r="B575" s="9"/>
      <c r="C575" s="9"/>
      <c r="D575" s="34"/>
      <c r="E575" s="9"/>
      <c r="F575" s="35"/>
      <c r="G575" s="35"/>
      <c r="H575" s="35"/>
      <c r="I575" s="34"/>
      <c r="J575" s="35"/>
      <c r="K575" s="35"/>
      <c r="L575" s="39" t="str">
        <f aca="false">IF(A575="","",IF(I575&lt;&gt;"","Vendu","En stock"))</f>
        <v/>
      </c>
      <c r="M575" s="17" t="str">
        <f aca="false">IF(J575="","",J575-F575-G575-K575)</f>
        <v/>
      </c>
      <c r="N575" s="40" t="str">
        <f aca="false">IF(OR(J575="",J575=0),"",M575/J575)</f>
        <v/>
      </c>
      <c r="O575" s="41" t="str">
        <f aca="true">IF(D575="","",IF(I575&lt;&gt;"",I575,TODAY())-D575)</f>
        <v/>
      </c>
    </row>
    <row r="576" customFormat="false" ht="15" hidden="false" customHeight="false" outlineLevel="0" collapsed="false">
      <c r="A576" s="9"/>
      <c r="B576" s="9"/>
      <c r="C576" s="9"/>
      <c r="D576" s="34"/>
      <c r="E576" s="9"/>
      <c r="F576" s="35"/>
      <c r="G576" s="35"/>
      <c r="H576" s="35"/>
      <c r="I576" s="34"/>
      <c r="J576" s="35"/>
      <c r="K576" s="35"/>
      <c r="L576" s="39" t="str">
        <f aca="false">IF(A576="","",IF(I576&lt;&gt;"","Vendu","En stock"))</f>
        <v/>
      </c>
      <c r="M576" s="17" t="str">
        <f aca="false">IF(J576="","",J576-F576-G576-K576)</f>
        <v/>
      </c>
      <c r="N576" s="40" t="str">
        <f aca="false">IF(OR(J576="",J576=0),"",M576/J576)</f>
        <v/>
      </c>
      <c r="O576" s="41" t="str">
        <f aca="true">IF(D576="","",IF(I576&lt;&gt;"",I576,TODAY())-D576)</f>
        <v/>
      </c>
    </row>
    <row r="577" customFormat="false" ht="15" hidden="false" customHeight="false" outlineLevel="0" collapsed="false">
      <c r="A577" s="9"/>
      <c r="B577" s="9"/>
      <c r="C577" s="9"/>
      <c r="D577" s="34"/>
      <c r="E577" s="9"/>
      <c r="F577" s="35"/>
      <c r="G577" s="35"/>
      <c r="H577" s="35"/>
      <c r="I577" s="34"/>
      <c r="J577" s="35"/>
      <c r="K577" s="35"/>
      <c r="L577" s="39" t="str">
        <f aca="false">IF(A577="","",IF(I577&lt;&gt;"","Vendu","En stock"))</f>
        <v/>
      </c>
      <c r="M577" s="17" t="str">
        <f aca="false">IF(J577="","",J577-F577-G577-K577)</f>
        <v/>
      </c>
      <c r="N577" s="40" t="str">
        <f aca="false">IF(OR(J577="",J577=0),"",M577/J577)</f>
        <v/>
      </c>
      <c r="O577" s="41" t="str">
        <f aca="true">IF(D577="","",IF(I577&lt;&gt;"",I577,TODAY())-D577)</f>
        <v/>
      </c>
    </row>
    <row r="578" customFormat="false" ht="15" hidden="false" customHeight="false" outlineLevel="0" collapsed="false">
      <c r="A578" s="9"/>
      <c r="B578" s="9"/>
      <c r="C578" s="9"/>
      <c r="D578" s="34"/>
      <c r="E578" s="9"/>
      <c r="F578" s="35"/>
      <c r="G578" s="35"/>
      <c r="H578" s="35"/>
      <c r="I578" s="34"/>
      <c r="J578" s="35"/>
      <c r="K578" s="35"/>
      <c r="L578" s="39" t="str">
        <f aca="false">IF(A578="","",IF(I578&lt;&gt;"","Vendu","En stock"))</f>
        <v/>
      </c>
      <c r="M578" s="17" t="str">
        <f aca="false">IF(J578="","",J578-F578-G578-K578)</f>
        <v/>
      </c>
      <c r="N578" s="40" t="str">
        <f aca="false">IF(OR(J578="",J578=0),"",M578/J578)</f>
        <v/>
      </c>
      <c r="O578" s="41" t="str">
        <f aca="true">IF(D578="","",IF(I578&lt;&gt;"",I578,TODAY())-D578)</f>
        <v/>
      </c>
    </row>
    <row r="579" customFormat="false" ht="15" hidden="false" customHeight="false" outlineLevel="0" collapsed="false">
      <c r="A579" s="9"/>
      <c r="B579" s="9"/>
      <c r="C579" s="9"/>
      <c r="D579" s="34"/>
      <c r="E579" s="9"/>
      <c r="F579" s="35"/>
      <c r="G579" s="35"/>
      <c r="H579" s="35"/>
      <c r="I579" s="34"/>
      <c r="J579" s="35"/>
      <c r="K579" s="35"/>
      <c r="L579" s="39" t="str">
        <f aca="false">IF(A579="","",IF(I579&lt;&gt;"","Vendu","En stock"))</f>
        <v/>
      </c>
      <c r="M579" s="17" t="str">
        <f aca="false">IF(J579="","",J579-F579-G579-K579)</f>
        <v/>
      </c>
      <c r="N579" s="40" t="str">
        <f aca="false">IF(OR(J579="",J579=0),"",M579/J579)</f>
        <v/>
      </c>
      <c r="O579" s="41" t="str">
        <f aca="true">IF(D579="","",IF(I579&lt;&gt;"",I579,TODAY())-D579)</f>
        <v/>
      </c>
    </row>
    <row r="580" customFormat="false" ht="15" hidden="false" customHeight="false" outlineLevel="0" collapsed="false">
      <c r="A580" s="9"/>
      <c r="B580" s="9"/>
      <c r="C580" s="9"/>
      <c r="D580" s="34"/>
      <c r="E580" s="9"/>
      <c r="F580" s="35"/>
      <c r="G580" s="35"/>
      <c r="H580" s="35"/>
      <c r="I580" s="34"/>
      <c r="J580" s="35"/>
      <c r="K580" s="35"/>
      <c r="L580" s="39" t="str">
        <f aca="false">IF(A580="","",IF(I580&lt;&gt;"","Vendu","En stock"))</f>
        <v/>
      </c>
      <c r="M580" s="17" t="str">
        <f aca="false">IF(J580="","",J580-F580-G580-K580)</f>
        <v/>
      </c>
      <c r="N580" s="40" t="str">
        <f aca="false">IF(OR(J580="",J580=0),"",M580/J580)</f>
        <v/>
      </c>
      <c r="O580" s="41" t="str">
        <f aca="true">IF(D580="","",IF(I580&lt;&gt;"",I580,TODAY())-D580)</f>
        <v/>
      </c>
    </row>
    <row r="581" customFormat="false" ht="15" hidden="false" customHeight="false" outlineLevel="0" collapsed="false">
      <c r="A581" s="9"/>
      <c r="B581" s="9"/>
      <c r="C581" s="9"/>
      <c r="D581" s="34"/>
      <c r="E581" s="9"/>
      <c r="F581" s="35"/>
      <c r="G581" s="35"/>
      <c r="H581" s="35"/>
      <c r="I581" s="34"/>
      <c r="J581" s="35"/>
      <c r="K581" s="35"/>
      <c r="L581" s="39" t="str">
        <f aca="false">IF(A581="","",IF(I581&lt;&gt;"","Vendu","En stock"))</f>
        <v/>
      </c>
      <c r="M581" s="17" t="str">
        <f aca="false">IF(J581="","",J581-F581-G581-K581)</f>
        <v/>
      </c>
      <c r="N581" s="40" t="str">
        <f aca="false">IF(OR(J581="",J581=0),"",M581/J581)</f>
        <v/>
      </c>
      <c r="O581" s="41" t="str">
        <f aca="true">IF(D581="","",IF(I581&lt;&gt;"",I581,TODAY())-D581)</f>
        <v/>
      </c>
    </row>
    <row r="582" customFormat="false" ht="15" hidden="false" customHeight="false" outlineLevel="0" collapsed="false">
      <c r="A582" s="9"/>
      <c r="B582" s="9"/>
      <c r="C582" s="9"/>
      <c r="D582" s="34"/>
      <c r="E582" s="9"/>
      <c r="F582" s="35"/>
      <c r="G582" s="35"/>
      <c r="H582" s="35"/>
      <c r="I582" s="34"/>
      <c r="J582" s="35"/>
      <c r="K582" s="35"/>
      <c r="L582" s="39" t="str">
        <f aca="false">IF(A582="","",IF(I582&lt;&gt;"","Vendu","En stock"))</f>
        <v/>
      </c>
      <c r="M582" s="17" t="str">
        <f aca="false">IF(J582="","",J582-F582-G582-K582)</f>
        <v/>
      </c>
      <c r="N582" s="40" t="str">
        <f aca="false">IF(OR(J582="",J582=0),"",M582/J582)</f>
        <v/>
      </c>
      <c r="O582" s="41" t="str">
        <f aca="true">IF(D582="","",IF(I582&lt;&gt;"",I582,TODAY())-D582)</f>
        <v/>
      </c>
    </row>
    <row r="583" customFormat="false" ht="15" hidden="false" customHeight="false" outlineLevel="0" collapsed="false">
      <c r="A583" s="9"/>
      <c r="B583" s="9"/>
      <c r="C583" s="9"/>
      <c r="D583" s="34"/>
      <c r="E583" s="9"/>
      <c r="F583" s="35"/>
      <c r="G583" s="35"/>
      <c r="H583" s="35"/>
      <c r="I583" s="34"/>
      <c r="J583" s="35"/>
      <c r="K583" s="35"/>
      <c r="L583" s="39" t="str">
        <f aca="false">IF(A583="","",IF(I583&lt;&gt;"","Vendu","En stock"))</f>
        <v/>
      </c>
      <c r="M583" s="17" t="str">
        <f aca="false">IF(J583="","",J583-F583-G583-K583)</f>
        <v/>
      </c>
      <c r="N583" s="40" t="str">
        <f aca="false">IF(OR(J583="",J583=0),"",M583/J583)</f>
        <v/>
      </c>
      <c r="O583" s="41" t="str">
        <f aca="true">IF(D583="","",IF(I583&lt;&gt;"",I583,TODAY())-D583)</f>
        <v/>
      </c>
    </row>
    <row r="584" customFormat="false" ht="15" hidden="false" customHeight="false" outlineLevel="0" collapsed="false">
      <c r="A584" s="9"/>
      <c r="B584" s="9"/>
      <c r="C584" s="9"/>
      <c r="D584" s="34"/>
      <c r="E584" s="9"/>
      <c r="F584" s="35"/>
      <c r="G584" s="35"/>
      <c r="H584" s="35"/>
      <c r="I584" s="34"/>
      <c r="J584" s="35"/>
      <c r="K584" s="35"/>
      <c r="L584" s="39" t="str">
        <f aca="false">IF(A584="","",IF(I584&lt;&gt;"","Vendu","En stock"))</f>
        <v/>
      </c>
      <c r="M584" s="17" t="str">
        <f aca="false">IF(J584="","",J584-F584-G584-K584)</f>
        <v/>
      </c>
      <c r="N584" s="40" t="str">
        <f aca="false">IF(OR(J584="",J584=0),"",M584/J584)</f>
        <v/>
      </c>
      <c r="O584" s="41" t="str">
        <f aca="true">IF(D584="","",IF(I584&lt;&gt;"",I584,TODAY())-D584)</f>
        <v/>
      </c>
    </row>
    <row r="585" customFormat="false" ht="15" hidden="false" customHeight="false" outlineLevel="0" collapsed="false">
      <c r="A585" s="9"/>
      <c r="B585" s="9"/>
      <c r="C585" s="9"/>
      <c r="D585" s="34"/>
      <c r="E585" s="9"/>
      <c r="F585" s="35"/>
      <c r="G585" s="35"/>
      <c r="H585" s="35"/>
      <c r="I585" s="34"/>
      <c r="J585" s="35"/>
      <c r="K585" s="35"/>
      <c r="L585" s="39" t="str">
        <f aca="false">IF(A585="","",IF(I585&lt;&gt;"","Vendu","En stock"))</f>
        <v/>
      </c>
      <c r="M585" s="17" t="str">
        <f aca="false">IF(J585="","",J585-F585-G585-K585)</f>
        <v/>
      </c>
      <c r="N585" s="40" t="str">
        <f aca="false">IF(OR(J585="",J585=0),"",M585/J585)</f>
        <v/>
      </c>
      <c r="O585" s="41" t="str">
        <f aca="true">IF(D585="","",IF(I585&lt;&gt;"",I585,TODAY())-D585)</f>
        <v/>
      </c>
    </row>
    <row r="586" customFormat="false" ht="15" hidden="false" customHeight="false" outlineLevel="0" collapsed="false">
      <c r="A586" s="9"/>
      <c r="B586" s="9"/>
      <c r="C586" s="9"/>
      <c r="D586" s="34"/>
      <c r="E586" s="9"/>
      <c r="F586" s="35"/>
      <c r="G586" s="35"/>
      <c r="H586" s="35"/>
      <c r="I586" s="34"/>
      <c r="J586" s="35"/>
      <c r="K586" s="35"/>
      <c r="L586" s="39" t="str">
        <f aca="false">IF(A586="","",IF(I586&lt;&gt;"","Vendu","En stock"))</f>
        <v/>
      </c>
      <c r="M586" s="17" t="str">
        <f aca="false">IF(J586="","",J586-F586-G586-K586)</f>
        <v/>
      </c>
      <c r="N586" s="40" t="str">
        <f aca="false">IF(OR(J586="",J586=0),"",M586/J586)</f>
        <v/>
      </c>
      <c r="O586" s="41" t="str">
        <f aca="true">IF(D586="","",IF(I586&lt;&gt;"",I586,TODAY())-D586)</f>
        <v/>
      </c>
    </row>
    <row r="587" customFormat="false" ht="15" hidden="false" customHeight="false" outlineLevel="0" collapsed="false">
      <c r="A587" s="9"/>
      <c r="B587" s="9"/>
      <c r="C587" s="9"/>
      <c r="D587" s="34"/>
      <c r="E587" s="9"/>
      <c r="F587" s="35"/>
      <c r="G587" s="35"/>
      <c r="H587" s="35"/>
      <c r="I587" s="34"/>
      <c r="J587" s="35"/>
      <c r="K587" s="35"/>
      <c r="L587" s="39" t="str">
        <f aca="false">IF(A587="","",IF(I587&lt;&gt;"","Vendu","En stock"))</f>
        <v/>
      </c>
      <c r="M587" s="17" t="str">
        <f aca="false">IF(J587="","",J587-F587-G587-K587)</f>
        <v/>
      </c>
      <c r="N587" s="40" t="str">
        <f aca="false">IF(OR(J587="",J587=0),"",M587/J587)</f>
        <v/>
      </c>
      <c r="O587" s="41" t="str">
        <f aca="true">IF(D587="","",IF(I587&lt;&gt;"",I587,TODAY())-D587)</f>
        <v/>
      </c>
    </row>
    <row r="588" customFormat="false" ht="15" hidden="false" customHeight="false" outlineLevel="0" collapsed="false">
      <c r="A588" s="9"/>
      <c r="B588" s="9"/>
      <c r="C588" s="9"/>
      <c r="D588" s="34"/>
      <c r="E588" s="9"/>
      <c r="F588" s="35"/>
      <c r="G588" s="35"/>
      <c r="H588" s="35"/>
      <c r="I588" s="34"/>
      <c r="J588" s="35"/>
      <c r="K588" s="35"/>
      <c r="L588" s="39" t="str">
        <f aca="false">IF(A588="","",IF(I588&lt;&gt;"","Vendu","En stock"))</f>
        <v/>
      </c>
      <c r="M588" s="17" t="str">
        <f aca="false">IF(J588="","",J588-F588-G588-K588)</f>
        <v/>
      </c>
      <c r="N588" s="40" t="str">
        <f aca="false">IF(OR(J588="",J588=0),"",M588/J588)</f>
        <v/>
      </c>
      <c r="O588" s="41" t="str">
        <f aca="true">IF(D588="","",IF(I588&lt;&gt;"",I588,TODAY())-D588)</f>
        <v/>
      </c>
    </row>
    <row r="589" customFormat="false" ht="15" hidden="false" customHeight="false" outlineLevel="0" collapsed="false">
      <c r="A589" s="9"/>
      <c r="B589" s="9"/>
      <c r="C589" s="9"/>
      <c r="D589" s="34"/>
      <c r="E589" s="9"/>
      <c r="F589" s="35"/>
      <c r="G589" s="35"/>
      <c r="H589" s="35"/>
      <c r="I589" s="34"/>
      <c r="J589" s="35"/>
      <c r="K589" s="35"/>
      <c r="L589" s="39" t="str">
        <f aca="false">IF(A589="","",IF(I589&lt;&gt;"","Vendu","En stock"))</f>
        <v/>
      </c>
      <c r="M589" s="17" t="str">
        <f aca="false">IF(J589="","",J589-F589-G589-K589)</f>
        <v/>
      </c>
      <c r="N589" s="40" t="str">
        <f aca="false">IF(OR(J589="",J589=0),"",M589/J589)</f>
        <v/>
      </c>
      <c r="O589" s="41" t="str">
        <f aca="true">IF(D589="","",IF(I589&lt;&gt;"",I589,TODAY())-D589)</f>
        <v/>
      </c>
    </row>
    <row r="590" customFormat="false" ht="15" hidden="false" customHeight="false" outlineLevel="0" collapsed="false">
      <c r="A590" s="9"/>
      <c r="B590" s="9"/>
      <c r="C590" s="9"/>
      <c r="D590" s="34"/>
      <c r="E590" s="9"/>
      <c r="F590" s="35"/>
      <c r="G590" s="35"/>
      <c r="H590" s="35"/>
      <c r="I590" s="34"/>
      <c r="J590" s="35"/>
      <c r="K590" s="35"/>
      <c r="L590" s="39" t="str">
        <f aca="false">IF(A590="","",IF(I590&lt;&gt;"","Vendu","En stock"))</f>
        <v/>
      </c>
      <c r="M590" s="17" t="str">
        <f aca="false">IF(J590="","",J590-F590-G590-K590)</f>
        <v/>
      </c>
      <c r="N590" s="40" t="str">
        <f aca="false">IF(OR(J590="",J590=0),"",M590/J590)</f>
        <v/>
      </c>
      <c r="O590" s="41" t="str">
        <f aca="true">IF(D590="","",IF(I590&lt;&gt;"",I590,TODAY())-D590)</f>
        <v/>
      </c>
    </row>
    <row r="591" customFormat="false" ht="15" hidden="false" customHeight="false" outlineLevel="0" collapsed="false">
      <c r="A591" s="9"/>
      <c r="B591" s="9"/>
      <c r="C591" s="9"/>
      <c r="D591" s="34"/>
      <c r="E591" s="9"/>
      <c r="F591" s="35"/>
      <c r="G591" s="35"/>
      <c r="H591" s="35"/>
      <c r="I591" s="34"/>
      <c r="J591" s="35"/>
      <c r="K591" s="35"/>
      <c r="L591" s="39" t="str">
        <f aca="false">IF(A591="","",IF(I591&lt;&gt;"","Vendu","En stock"))</f>
        <v/>
      </c>
      <c r="M591" s="17" t="str">
        <f aca="false">IF(J591="","",J591-F591-G591-K591)</f>
        <v/>
      </c>
      <c r="N591" s="40" t="str">
        <f aca="false">IF(OR(J591="",J591=0),"",M591/J591)</f>
        <v/>
      </c>
      <c r="O591" s="41" t="str">
        <f aca="true">IF(D591="","",IF(I591&lt;&gt;"",I591,TODAY())-D591)</f>
        <v/>
      </c>
    </row>
    <row r="592" customFormat="false" ht="15" hidden="false" customHeight="false" outlineLevel="0" collapsed="false">
      <c r="A592" s="9"/>
      <c r="B592" s="9"/>
      <c r="C592" s="9"/>
      <c r="D592" s="34"/>
      <c r="E592" s="9"/>
      <c r="F592" s="35"/>
      <c r="G592" s="35"/>
      <c r="H592" s="35"/>
      <c r="I592" s="34"/>
      <c r="J592" s="35"/>
      <c r="K592" s="35"/>
      <c r="L592" s="39" t="str">
        <f aca="false">IF(A592="","",IF(I592&lt;&gt;"","Vendu","En stock"))</f>
        <v/>
      </c>
      <c r="M592" s="17" t="str">
        <f aca="false">IF(J592="","",J592-F592-G592-K592)</f>
        <v/>
      </c>
      <c r="N592" s="40" t="str">
        <f aca="false">IF(OR(J592="",J592=0),"",M592/J592)</f>
        <v/>
      </c>
      <c r="O592" s="41" t="str">
        <f aca="true">IF(D592="","",IF(I592&lt;&gt;"",I592,TODAY())-D592)</f>
        <v/>
      </c>
    </row>
    <row r="593" customFormat="false" ht="15" hidden="false" customHeight="false" outlineLevel="0" collapsed="false">
      <c r="A593" s="9"/>
      <c r="B593" s="9"/>
      <c r="C593" s="9"/>
      <c r="D593" s="34"/>
      <c r="E593" s="9"/>
      <c r="F593" s="35"/>
      <c r="G593" s="35"/>
      <c r="H593" s="35"/>
      <c r="I593" s="34"/>
      <c r="J593" s="35"/>
      <c r="K593" s="35"/>
      <c r="L593" s="39" t="str">
        <f aca="false">IF(A593="","",IF(I593&lt;&gt;"","Vendu","En stock"))</f>
        <v/>
      </c>
      <c r="M593" s="17" t="str">
        <f aca="false">IF(J593="","",J593-F593-G593-K593)</f>
        <v/>
      </c>
      <c r="N593" s="40" t="str">
        <f aca="false">IF(OR(J593="",J593=0),"",M593/J593)</f>
        <v/>
      </c>
      <c r="O593" s="41" t="str">
        <f aca="true">IF(D593="","",IF(I593&lt;&gt;"",I593,TODAY())-D593)</f>
        <v/>
      </c>
    </row>
    <row r="594" customFormat="false" ht="15" hidden="false" customHeight="false" outlineLevel="0" collapsed="false">
      <c r="A594" s="9"/>
      <c r="B594" s="9"/>
      <c r="C594" s="9"/>
      <c r="D594" s="34"/>
      <c r="E594" s="9"/>
      <c r="F594" s="35"/>
      <c r="G594" s="35"/>
      <c r="H594" s="35"/>
      <c r="I594" s="34"/>
      <c r="J594" s="35"/>
      <c r="K594" s="35"/>
      <c r="L594" s="39" t="str">
        <f aca="false">IF(A594="","",IF(I594&lt;&gt;"","Vendu","En stock"))</f>
        <v/>
      </c>
      <c r="M594" s="17" t="str">
        <f aca="false">IF(J594="","",J594-F594-G594-K594)</f>
        <v/>
      </c>
      <c r="N594" s="40" t="str">
        <f aca="false">IF(OR(J594="",J594=0),"",M594/J594)</f>
        <v/>
      </c>
      <c r="O594" s="41" t="str">
        <f aca="true">IF(D594="","",IF(I594&lt;&gt;"",I594,TODAY())-D594)</f>
        <v/>
      </c>
    </row>
    <row r="595" customFormat="false" ht="15" hidden="false" customHeight="false" outlineLevel="0" collapsed="false">
      <c r="A595" s="9"/>
      <c r="B595" s="9"/>
      <c r="C595" s="9"/>
      <c r="D595" s="34"/>
      <c r="E595" s="9"/>
      <c r="F595" s="35"/>
      <c r="G595" s="35"/>
      <c r="H595" s="35"/>
      <c r="I595" s="34"/>
      <c r="J595" s="35"/>
      <c r="K595" s="35"/>
      <c r="L595" s="39" t="str">
        <f aca="false">IF(A595="","",IF(I595&lt;&gt;"","Vendu","En stock"))</f>
        <v/>
      </c>
      <c r="M595" s="17" t="str">
        <f aca="false">IF(J595="","",J595-F595-G595-K595)</f>
        <v/>
      </c>
      <c r="N595" s="40" t="str">
        <f aca="false">IF(OR(J595="",J595=0),"",M595/J595)</f>
        <v/>
      </c>
      <c r="O595" s="41" t="str">
        <f aca="true">IF(D595="","",IF(I595&lt;&gt;"",I595,TODAY())-D595)</f>
        <v/>
      </c>
    </row>
    <row r="596" customFormat="false" ht="15" hidden="false" customHeight="false" outlineLevel="0" collapsed="false">
      <c r="A596" s="9"/>
      <c r="B596" s="9"/>
      <c r="C596" s="9"/>
      <c r="D596" s="34"/>
      <c r="E596" s="9"/>
      <c r="F596" s="35"/>
      <c r="G596" s="35"/>
      <c r="H596" s="35"/>
      <c r="I596" s="34"/>
      <c r="J596" s="35"/>
      <c r="K596" s="35"/>
      <c r="L596" s="39" t="str">
        <f aca="false">IF(A596="","",IF(I596&lt;&gt;"","Vendu","En stock"))</f>
        <v/>
      </c>
      <c r="M596" s="17" t="str">
        <f aca="false">IF(J596="","",J596-F596-G596-K596)</f>
        <v/>
      </c>
      <c r="N596" s="40" t="str">
        <f aca="false">IF(OR(J596="",J596=0),"",M596/J596)</f>
        <v/>
      </c>
      <c r="O596" s="41" t="str">
        <f aca="true">IF(D596="","",IF(I596&lt;&gt;"",I596,TODAY())-D596)</f>
        <v/>
      </c>
    </row>
    <row r="597" customFormat="false" ht="15" hidden="false" customHeight="false" outlineLevel="0" collapsed="false">
      <c r="A597" s="9"/>
      <c r="B597" s="9"/>
      <c r="C597" s="9"/>
      <c r="D597" s="34"/>
      <c r="E597" s="9"/>
      <c r="F597" s="35"/>
      <c r="G597" s="35"/>
      <c r="H597" s="35"/>
      <c r="I597" s="34"/>
      <c r="J597" s="35"/>
      <c r="K597" s="35"/>
      <c r="L597" s="39" t="str">
        <f aca="false">IF(A597="","",IF(I597&lt;&gt;"","Vendu","En stock"))</f>
        <v/>
      </c>
      <c r="M597" s="17" t="str">
        <f aca="false">IF(J597="","",J597-F597-G597-K597)</f>
        <v/>
      </c>
      <c r="N597" s="40" t="str">
        <f aca="false">IF(OR(J597="",J597=0),"",M597/J597)</f>
        <v/>
      </c>
      <c r="O597" s="41" t="str">
        <f aca="true">IF(D597="","",IF(I597&lt;&gt;"",I597,TODAY())-D597)</f>
        <v/>
      </c>
    </row>
    <row r="598" customFormat="false" ht="15" hidden="false" customHeight="false" outlineLevel="0" collapsed="false">
      <c r="A598" s="9"/>
      <c r="B598" s="9"/>
      <c r="C598" s="9"/>
      <c r="D598" s="34"/>
      <c r="E598" s="9"/>
      <c r="F598" s="35"/>
      <c r="G598" s="35"/>
      <c r="H598" s="35"/>
      <c r="I598" s="34"/>
      <c r="J598" s="35"/>
      <c r="K598" s="35"/>
      <c r="L598" s="39" t="str">
        <f aca="false">IF(A598="","",IF(I598&lt;&gt;"","Vendu","En stock"))</f>
        <v/>
      </c>
      <c r="M598" s="17" t="str">
        <f aca="false">IF(J598="","",J598-F598-G598-K598)</f>
        <v/>
      </c>
      <c r="N598" s="40" t="str">
        <f aca="false">IF(OR(J598="",J598=0),"",M598/J598)</f>
        <v/>
      </c>
      <c r="O598" s="41" t="str">
        <f aca="true">IF(D598="","",IF(I598&lt;&gt;"",I598,TODAY())-D598)</f>
        <v/>
      </c>
    </row>
    <row r="599" customFormat="false" ht="15" hidden="false" customHeight="false" outlineLevel="0" collapsed="false">
      <c r="A599" s="9"/>
      <c r="B599" s="9"/>
      <c r="C599" s="9"/>
      <c r="D599" s="34"/>
      <c r="E599" s="9"/>
      <c r="F599" s="35"/>
      <c r="G599" s="35"/>
      <c r="H599" s="35"/>
      <c r="I599" s="34"/>
      <c r="J599" s="35"/>
      <c r="K599" s="35"/>
      <c r="L599" s="39" t="str">
        <f aca="false">IF(A599="","",IF(I599&lt;&gt;"","Vendu","En stock"))</f>
        <v/>
      </c>
      <c r="M599" s="17" t="str">
        <f aca="false">IF(J599="","",J599-F599-G599-K599)</f>
        <v/>
      </c>
      <c r="N599" s="40" t="str">
        <f aca="false">IF(OR(J599="",J599=0),"",M599/J599)</f>
        <v/>
      </c>
      <c r="O599" s="41" t="str">
        <f aca="true">IF(D599="","",IF(I599&lt;&gt;"",I599,TODAY())-D599)</f>
        <v/>
      </c>
    </row>
    <row r="600" customFormat="false" ht="15" hidden="false" customHeight="false" outlineLevel="0" collapsed="false">
      <c r="A600" s="9"/>
      <c r="B600" s="9"/>
      <c r="C600" s="9"/>
      <c r="D600" s="34"/>
      <c r="E600" s="9"/>
      <c r="F600" s="35"/>
      <c r="G600" s="35"/>
      <c r="H600" s="35"/>
      <c r="I600" s="34"/>
      <c r="J600" s="35"/>
      <c r="K600" s="35"/>
      <c r="L600" s="39" t="str">
        <f aca="false">IF(A600="","",IF(I600&lt;&gt;"","Vendu","En stock"))</f>
        <v/>
      </c>
      <c r="M600" s="17" t="str">
        <f aca="false">IF(J600="","",J600-F600-G600-K600)</f>
        <v/>
      </c>
      <c r="N600" s="40" t="str">
        <f aca="false">IF(OR(J600="",J600=0),"",M600/J600)</f>
        <v/>
      </c>
      <c r="O600" s="41" t="str">
        <f aca="true">IF(D600="","",IF(I600&lt;&gt;"",I600,TODAY())-D600)</f>
        <v/>
      </c>
    </row>
    <row r="601" customFormat="false" ht="15" hidden="false" customHeight="false" outlineLevel="0" collapsed="false">
      <c r="A601" s="9"/>
      <c r="B601" s="9"/>
      <c r="C601" s="9"/>
      <c r="D601" s="34"/>
      <c r="E601" s="9"/>
      <c r="F601" s="35"/>
      <c r="G601" s="35"/>
      <c r="H601" s="35"/>
      <c r="I601" s="34"/>
      <c r="J601" s="35"/>
      <c r="K601" s="35"/>
      <c r="L601" s="39" t="str">
        <f aca="false">IF(A601="","",IF(I601&lt;&gt;"","Vendu","En stock"))</f>
        <v/>
      </c>
      <c r="M601" s="17" t="str">
        <f aca="false">IF(J601="","",J601-F601-G601-K601)</f>
        <v/>
      </c>
      <c r="N601" s="40" t="str">
        <f aca="false">IF(OR(J601="",J601=0),"",M601/J601)</f>
        <v/>
      </c>
      <c r="O601" s="41" t="str">
        <f aca="true">IF(D601="","",IF(I601&lt;&gt;"",I601,TODAY())-D601)</f>
        <v/>
      </c>
    </row>
    <row r="602" customFormat="false" ht="15" hidden="false" customHeight="false" outlineLevel="0" collapsed="false">
      <c r="A602" s="9"/>
      <c r="B602" s="9"/>
      <c r="C602" s="9"/>
      <c r="D602" s="34"/>
      <c r="E602" s="9"/>
      <c r="F602" s="35"/>
      <c r="G602" s="35"/>
      <c r="H602" s="35"/>
      <c r="I602" s="34"/>
      <c r="J602" s="35"/>
      <c r="K602" s="35"/>
      <c r="L602" s="39" t="str">
        <f aca="false">IF(A602="","",IF(I602&lt;&gt;"","Vendu","En stock"))</f>
        <v/>
      </c>
      <c r="M602" s="17" t="str">
        <f aca="false">IF(J602="","",J602-F602-G602-K602)</f>
        <v/>
      </c>
      <c r="N602" s="40" t="str">
        <f aca="false">IF(OR(J602="",J602=0),"",M602/J602)</f>
        <v/>
      </c>
      <c r="O602" s="41" t="str">
        <f aca="true">IF(D602="","",IF(I602&lt;&gt;"",I602,TODAY())-D602)</f>
        <v/>
      </c>
    </row>
    <row r="603" customFormat="false" ht="15" hidden="false" customHeight="false" outlineLevel="0" collapsed="false">
      <c r="A603" s="9"/>
      <c r="B603" s="9"/>
      <c r="C603" s="9"/>
      <c r="D603" s="34"/>
      <c r="E603" s="9"/>
      <c r="F603" s="35"/>
      <c r="G603" s="35"/>
      <c r="H603" s="35"/>
      <c r="I603" s="34"/>
      <c r="J603" s="35"/>
      <c r="K603" s="35"/>
      <c r="L603" s="39" t="str">
        <f aca="false">IF(A603="","",IF(I603&lt;&gt;"","Vendu","En stock"))</f>
        <v/>
      </c>
      <c r="M603" s="17" t="str">
        <f aca="false">IF(J603="","",J603-F603-G603-K603)</f>
        <v/>
      </c>
      <c r="N603" s="40" t="str">
        <f aca="false">IF(OR(J603="",J603=0),"",M603/J603)</f>
        <v/>
      </c>
      <c r="O603" s="41" t="str">
        <f aca="true">IF(D603="","",IF(I603&lt;&gt;"",I603,TODAY())-D603)</f>
        <v/>
      </c>
    </row>
    <row r="604" customFormat="false" ht="15" hidden="false" customHeight="false" outlineLevel="0" collapsed="false">
      <c r="A604" s="9"/>
      <c r="B604" s="9"/>
      <c r="C604" s="9"/>
      <c r="D604" s="34"/>
      <c r="E604" s="9"/>
      <c r="F604" s="35"/>
      <c r="G604" s="35"/>
      <c r="H604" s="35"/>
      <c r="I604" s="34"/>
      <c r="J604" s="35"/>
      <c r="K604" s="35"/>
      <c r="L604" s="39" t="str">
        <f aca="false">IF(A604="","",IF(I604&lt;&gt;"","Vendu","En stock"))</f>
        <v/>
      </c>
      <c r="M604" s="17" t="str">
        <f aca="false">IF(J604="","",J604-F604-G604-K604)</f>
        <v/>
      </c>
      <c r="N604" s="40" t="str">
        <f aca="false">IF(OR(J604="",J604=0),"",M604/J604)</f>
        <v/>
      </c>
      <c r="O604" s="41" t="str">
        <f aca="true">IF(D604="","",IF(I604&lt;&gt;"",I604,TODAY())-D604)</f>
        <v/>
      </c>
    </row>
    <row r="605" customFormat="false" ht="15" hidden="false" customHeight="false" outlineLevel="0" collapsed="false">
      <c r="A605" s="9"/>
      <c r="B605" s="9"/>
      <c r="C605" s="9"/>
      <c r="D605" s="34"/>
      <c r="E605" s="9"/>
      <c r="F605" s="35"/>
      <c r="G605" s="35"/>
      <c r="H605" s="35"/>
      <c r="I605" s="34"/>
      <c r="J605" s="35"/>
      <c r="K605" s="35"/>
      <c r="L605" s="39" t="str">
        <f aca="false">IF(A605="","",IF(I605&lt;&gt;"","Vendu","En stock"))</f>
        <v/>
      </c>
      <c r="M605" s="17" t="str">
        <f aca="false">IF(J605="","",J605-F605-G605-K605)</f>
        <v/>
      </c>
      <c r="N605" s="40" t="str">
        <f aca="false">IF(OR(J605="",J605=0),"",M605/J605)</f>
        <v/>
      </c>
      <c r="O605" s="41" t="str">
        <f aca="true">IF(D605="","",IF(I605&lt;&gt;"",I605,TODAY())-D605)</f>
        <v/>
      </c>
    </row>
    <row r="606" customFormat="false" ht="15" hidden="false" customHeight="false" outlineLevel="0" collapsed="false">
      <c r="A606" s="9"/>
      <c r="B606" s="9"/>
      <c r="C606" s="9"/>
      <c r="D606" s="34"/>
      <c r="E606" s="9"/>
      <c r="F606" s="35"/>
      <c r="G606" s="35"/>
      <c r="H606" s="35"/>
      <c r="I606" s="34"/>
      <c r="J606" s="35"/>
      <c r="K606" s="35"/>
      <c r="L606" s="39" t="str">
        <f aca="false">IF(A606="","",IF(I606&lt;&gt;"","Vendu","En stock"))</f>
        <v/>
      </c>
      <c r="M606" s="17" t="str">
        <f aca="false">IF(J606="","",J606-F606-G606-K606)</f>
        <v/>
      </c>
      <c r="N606" s="40" t="str">
        <f aca="false">IF(OR(J606="",J606=0),"",M606/J606)</f>
        <v/>
      </c>
      <c r="O606" s="41" t="str">
        <f aca="true">IF(D606="","",IF(I606&lt;&gt;"",I606,TODAY())-D606)</f>
        <v/>
      </c>
    </row>
    <row r="607" customFormat="false" ht="15" hidden="false" customHeight="false" outlineLevel="0" collapsed="false">
      <c r="A607" s="9"/>
      <c r="B607" s="9"/>
      <c r="C607" s="9"/>
      <c r="D607" s="34"/>
      <c r="E607" s="9"/>
      <c r="F607" s="35"/>
      <c r="G607" s="35"/>
      <c r="H607" s="35"/>
      <c r="I607" s="34"/>
      <c r="J607" s="35"/>
      <c r="K607" s="35"/>
      <c r="L607" s="39" t="str">
        <f aca="false">IF(A607="","",IF(I607&lt;&gt;"","Vendu","En stock"))</f>
        <v/>
      </c>
      <c r="M607" s="17" t="str">
        <f aca="false">IF(J607="","",J607-F607-G607-K607)</f>
        <v/>
      </c>
      <c r="N607" s="40" t="str">
        <f aca="false">IF(OR(J607="",J607=0),"",M607/J607)</f>
        <v/>
      </c>
      <c r="O607" s="41" t="str">
        <f aca="true">IF(D607="","",IF(I607&lt;&gt;"",I607,TODAY())-D607)</f>
        <v/>
      </c>
    </row>
    <row r="608" customFormat="false" ht="15" hidden="false" customHeight="false" outlineLevel="0" collapsed="false">
      <c r="A608" s="9"/>
      <c r="B608" s="9"/>
      <c r="C608" s="9"/>
      <c r="D608" s="34"/>
      <c r="E608" s="9"/>
      <c r="F608" s="35"/>
      <c r="G608" s="35"/>
      <c r="H608" s="35"/>
      <c r="I608" s="34"/>
      <c r="J608" s="35"/>
      <c r="K608" s="35"/>
      <c r="L608" s="39" t="str">
        <f aca="false">IF(A608="","",IF(I608&lt;&gt;"","Vendu","En stock"))</f>
        <v/>
      </c>
      <c r="M608" s="17" t="str">
        <f aca="false">IF(J608="","",J608-F608-G608-K608)</f>
        <v/>
      </c>
      <c r="N608" s="40" t="str">
        <f aca="false">IF(OR(J608="",J608=0),"",M608/J608)</f>
        <v/>
      </c>
      <c r="O608" s="41" t="str">
        <f aca="true">IF(D608="","",IF(I608&lt;&gt;"",I608,TODAY())-D608)</f>
        <v/>
      </c>
    </row>
    <row r="609" customFormat="false" ht="15" hidden="false" customHeight="false" outlineLevel="0" collapsed="false">
      <c r="A609" s="9"/>
      <c r="B609" s="9"/>
      <c r="C609" s="9"/>
      <c r="D609" s="34"/>
      <c r="E609" s="9"/>
      <c r="F609" s="35"/>
      <c r="G609" s="35"/>
      <c r="H609" s="35"/>
      <c r="I609" s="34"/>
      <c r="J609" s="35"/>
      <c r="K609" s="35"/>
      <c r="L609" s="39" t="str">
        <f aca="false">IF(A609="","",IF(I609&lt;&gt;"","Vendu","En stock"))</f>
        <v/>
      </c>
      <c r="M609" s="17" t="str">
        <f aca="false">IF(J609="","",J609-F609-G609-K609)</f>
        <v/>
      </c>
      <c r="N609" s="40" t="str">
        <f aca="false">IF(OR(J609="",J609=0),"",M609/J609)</f>
        <v/>
      </c>
      <c r="O609" s="41" t="str">
        <f aca="true">IF(D609="","",IF(I609&lt;&gt;"",I609,TODAY())-D609)</f>
        <v/>
      </c>
    </row>
    <row r="610" customFormat="false" ht="15" hidden="false" customHeight="false" outlineLevel="0" collapsed="false">
      <c r="A610" s="9"/>
      <c r="B610" s="9"/>
      <c r="C610" s="9"/>
      <c r="D610" s="34"/>
      <c r="E610" s="9"/>
      <c r="F610" s="35"/>
      <c r="G610" s="35"/>
      <c r="H610" s="35"/>
      <c r="I610" s="34"/>
      <c r="J610" s="35"/>
      <c r="K610" s="35"/>
      <c r="L610" s="39" t="str">
        <f aca="false">IF(A610="","",IF(I610&lt;&gt;"","Vendu","En stock"))</f>
        <v/>
      </c>
      <c r="M610" s="17" t="str">
        <f aca="false">IF(J610="","",J610-F610-G610-K610)</f>
        <v/>
      </c>
      <c r="N610" s="40" t="str">
        <f aca="false">IF(OR(J610="",J610=0),"",M610/J610)</f>
        <v/>
      </c>
      <c r="O610" s="41" t="str">
        <f aca="true">IF(D610="","",IF(I610&lt;&gt;"",I610,TODAY())-D610)</f>
        <v/>
      </c>
    </row>
    <row r="611" customFormat="false" ht="15" hidden="false" customHeight="false" outlineLevel="0" collapsed="false">
      <c r="A611" s="9"/>
      <c r="B611" s="9"/>
      <c r="C611" s="9"/>
      <c r="D611" s="34"/>
      <c r="E611" s="9"/>
      <c r="F611" s="35"/>
      <c r="G611" s="35"/>
      <c r="H611" s="35"/>
      <c r="I611" s="34"/>
      <c r="J611" s="35"/>
      <c r="K611" s="35"/>
      <c r="L611" s="39" t="str">
        <f aca="false">IF(A611="","",IF(I611&lt;&gt;"","Vendu","En stock"))</f>
        <v/>
      </c>
      <c r="M611" s="17" t="str">
        <f aca="false">IF(J611="","",J611-F611-G611-K611)</f>
        <v/>
      </c>
      <c r="N611" s="40" t="str">
        <f aca="false">IF(OR(J611="",J611=0),"",M611/J611)</f>
        <v/>
      </c>
      <c r="O611" s="41" t="str">
        <f aca="true">IF(D611="","",IF(I611&lt;&gt;"",I611,TODAY())-D611)</f>
        <v/>
      </c>
    </row>
    <row r="612" customFormat="false" ht="15" hidden="false" customHeight="false" outlineLevel="0" collapsed="false">
      <c r="A612" s="9"/>
      <c r="B612" s="9"/>
      <c r="C612" s="9"/>
      <c r="D612" s="34"/>
      <c r="E612" s="9"/>
      <c r="F612" s="35"/>
      <c r="G612" s="35"/>
      <c r="H612" s="35"/>
      <c r="I612" s="34"/>
      <c r="J612" s="35"/>
      <c r="K612" s="35"/>
      <c r="L612" s="39" t="str">
        <f aca="false">IF(A612="","",IF(I612&lt;&gt;"","Vendu","En stock"))</f>
        <v/>
      </c>
      <c r="M612" s="17" t="str">
        <f aca="false">IF(J612="","",J612-F612-G612-K612)</f>
        <v/>
      </c>
      <c r="N612" s="40" t="str">
        <f aca="false">IF(OR(J612="",J612=0),"",M612/J612)</f>
        <v/>
      </c>
      <c r="O612" s="41" t="str">
        <f aca="true">IF(D612="","",IF(I612&lt;&gt;"",I612,TODAY())-D612)</f>
        <v/>
      </c>
    </row>
    <row r="613" customFormat="false" ht="15" hidden="false" customHeight="false" outlineLevel="0" collapsed="false">
      <c r="A613" s="9"/>
      <c r="B613" s="9"/>
      <c r="C613" s="9"/>
      <c r="D613" s="34"/>
      <c r="E613" s="9"/>
      <c r="F613" s="35"/>
      <c r="G613" s="35"/>
      <c r="H613" s="35"/>
      <c r="I613" s="34"/>
      <c r="J613" s="35"/>
      <c r="K613" s="35"/>
      <c r="L613" s="39" t="str">
        <f aca="false">IF(A613="","",IF(I613&lt;&gt;"","Vendu","En stock"))</f>
        <v/>
      </c>
      <c r="M613" s="17" t="str">
        <f aca="false">IF(J613="","",J613-F613-G613-K613)</f>
        <v/>
      </c>
      <c r="N613" s="40" t="str">
        <f aca="false">IF(OR(J613="",J613=0),"",M613/J613)</f>
        <v/>
      </c>
      <c r="O613" s="41" t="str">
        <f aca="true">IF(D613="","",IF(I613&lt;&gt;"",I613,TODAY())-D613)</f>
        <v/>
      </c>
    </row>
    <row r="614" customFormat="false" ht="15" hidden="false" customHeight="false" outlineLevel="0" collapsed="false">
      <c r="A614" s="9"/>
      <c r="B614" s="9"/>
      <c r="C614" s="9"/>
      <c r="D614" s="34"/>
      <c r="E614" s="9"/>
      <c r="F614" s="35"/>
      <c r="G614" s="35"/>
      <c r="H614" s="35"/>
      <c r="I614" s="34"/>
      <c r="J614" s="35"/>
      <c r="K614" s="35"/>
      <c r="L614" s="39" t="str">
        <f aca="false">IF(A614="","",IF(I614&lt;&gt;"","Vendu","En stock"))</f>
        <v/>
      </c>
      <c r="M614" s="17" t="str">
        <f aca="false">IF(J614="","",J614-F614-G614-K614)</f>
        <v/>
      </c>
      <c r="N614" s="40" t="str">
        <f aca="false">IF(OR(J614="",J614=0),"",M614/J614)</f>
        <v/>
      </c>
      <c r="O614" s="41" t="str">
        <f aca="true">IF(D614="","",IF(I614&lt;&gt;"",I614,TODAY())-D614)</f>
        <v/>
      </c>
    </row>
    <row r="615" customFormat="false" ht="15" hidden="false" customHeight="false" outlineLevel="0" collapsed="false">
      <c r="A615" s="9"/>
      <c r="B615" s="9"/>
      <c r="C615" s="9"/>
      <c r="D615" s="34"/>
      <c r="E615" s="9"/>
      <c r="F615" s="35"/>
      <c r="G615" s="35"/>
      <c r="H615" s="35"/>
      <c r="I615" s="34"/>
      <c r="J615" s="35"/>
      <c r="K615" s="35"/>
      <c r="L615" s="39" t="str">
        <f aca="false">IF(A615="","",IF(I615&lt;&gt;"","Vendu","En stock"))</f>
        <v/>
      </c>
      <c r="M615" s="17" t="str">
        <f aca="false">IF(J615="","",J615-F615-G615-K615)</f>
        <v/>
      </c>
      <c r="N615" s="40" t="str">
        <f aca="false">IF(OR(J615="",J615=0),"",M615/J615)</f>
        <v/>
      </c>
      <c r="O615" s="41" t="str">
        <f aca="true">IF(D615="","",IF(I615&lt;&gt;"",I615,TODAY())-D615)</f>
        <v/>
      </c>
    </row>
    <row r="616" customFormat="false" ht="15" hidden="false" customHeight="false" outlineLevel="0" collapsed="false">
      <c r="A616" s="9"/>
      <c r="B616" s="9"/>
      <c r="C616" s="9"/>
      <c r="D616" s="34"/>
      <c r="E616" s="9"/>
      <c r="F616" s="35"/>
      <c r="G616" s="35"/>
      <c r="H616" s="35"/>
      <c r="I616" s="34"/>
      <c r="J616" s="35"/>
      <c r="K616" s="35"/>
      <c r="L616" s="39" t="str">
        <f aca="false">IF(A616="","",IF(I616&lt;&gt;"","Vendu","En stock"))</f>
        <v/>
      </c>
      <c r="M616" s="17" t="str">
        <f aca="false">IF(J616="","",J616-F616-G616-K616)</f>
        <v/>
      </c>
      <c r="N616" s="40" t="str">
        <f aca="false">IF(OR(J616="",J616=0),"",M616/J616)</f>
        <v/>
      </c>
      <c r="O616" s="41" t="str">
        <f aca="true">IF(D616="","",IF(I616&lt;&gt;"",I616,TODAY())-D616)</f>
        <v/>
      </c>
    </row>
    <row r="617" customFormat="false" ht="15" hidden="false" customHeight="false" outlineLevel="0" collapsed="false">
      <c r="A617" s="9"/>
      <c r="B617" s="9"/>
      <c r="C617" s="9"/>
      <c r="D617" s="34"/>
      <c r="E617" s="9"/>
      <c r="F617" s="35"/>
      <c r="G617" s="35"/>
      <c r="H617" s="35"/>
      <c r="I617" s="34"/>
      <c r="J617" s="35"/>
      <c r="K617" s="35"/>
      <c r="L617" s="39" t="str">
        <f aca="false">IF(A617="","",IF(I617&lt;&gt;"","Vendu","En stock"))</f>
        <v/>
      </c>
      <c r="M617" s="17" t="str">
        <f aca="false">IF(J617="","",J617-F617-G617-K617)</f>
        <v/>
      </c>
      <c r="N617" s="40" t="str">
        <f aca="false">IF(OR(J617="",J617=0),"",M617/J617)</f>
        <v/>
      </c>
      <c r="O617" s="41" t="str">
        <f aca="true">IF(D617="","",IF(I617&lt;&gt;"",I617,TODAY())-D617)</f>
        <v/>
      </c>
    </row>
    <row r="618" customFormat="false" ht="15" hidden="false" customHeight="false" outlineLevel="0" collapsed="false">
      <c r="A618" s="9"/>
      <c r="B618" s="9"/>
      <c r="C618" s="9"/>
      <c r="D618" s="34"/>
      <c r="E618" s="9"/>
      <c r="F618" s="35"/>
      <c r="G618" s="35"/>
      <c r="H618" s="35"/>
      <c r="I618" s="34"/>
      <c r="J618" s="35"/>
      <c r="K618" s="35"/>
      <c r="L618" s="39" t="str">
        <f aca="false">IF(A618="","",IF(I618&lt;&gt;"","Vendu","En stock"))</f>
        <v/>
      </c>
      <c r="M618" s="17" t="str">
        <f aca="false">IF(J618="","",J618-F618-G618-K618)</f>
        <v/>
      </c>
      <c r="N618" s="40" t="str">
        <f aca="false">IF(OR(J618="",J618=0),"",M618/J618)</f>
        <v/>
      </c>
      <c r="O618" s="41" t="str">
        <f aca="true">IF(D618="","",IF(I618&lt;&gt;"",I618,TODAY())-D618)</f>
        <v/>
      </c>
    </row>
    <row r="619" customFormat="false" ht="15" hidden="false" customHeight="false" outlineLevel="0" collapsed="false">
      <c r="A619" s="9"/>
      <c r="B619" s="9"/>
      <c r="C619" s="9"/>
      <c r="D619" s="34"/>
      <c r="E619" s="9"/>
      <c r="F619" s="35"/>
      <c r="G619" s="35"/>
      <c r="H619" s="35"/>
      <c r="I619" s="34"/>
      <c r="J619" s="35"/>
      <c r="K619" s="35"/>
      <c r="L619" s="39" t="str">
        <f aca="false">IF(A619="","",IF(I619&lt;&gt;"","Vendu","En stock"))</f>
        <v/>
      </c>
      <c r="M619" s="17" t="str">
        <f aca="false">IF(J619="","",J619-F619-G619-K619)</f>
        <v/>
      </c>
      <c r="N619" s="40" t="str">
        <f aca="false">IF(OR(J619="",J619=0),"",M619/J619)</f>
        <v/>
      </c>
      <c r="O619" s="41" t="str">
        <f aca="true">IF(D619="","",IF(I619&lt;&gt;"",I619,TODAY())-D619)</f>
        <v/>
      </c>
    </row>
    <row r="620" customFormat="false" ht="15" hidden="false" customHeight="false" outlineLevel="0" collapsed="false">
      <c r="A620" s="9"/>
      <c r="B620" s="9"/>
      <c r="C620" s="9"/>
      <c r="D620" s="34"/>
      <c r="E620" s="9"/>
      <c r="F620" s="35"/>
      <c r="G620" s="35"/>
      <c r="H620" s="35"/>
      <c r="I620" s="34"/>
      <c r="J620" s="35"/>
      <c r="K620" s="35"/>
      <c r="L620" s="39" t="str">
        <f aca="false">IF(A620="","",IF(I620&lt;&gt;"","Vendu","En stock"))</f>
        <v/>
      </c>
      <c r="M620" s="17" t="str">
        <f aca="false">IF(J620="","",J620-F620-G620-K620)</f>
        <v/>
      </c>
      <c r="N620" s="40" t="str">
        <f aca="false">IF(OR(J620="",J620=0),"",M620/J620)</f>
        <v/>
      </c>
      <c r="O620" s="41" t="str">
        <f aca="true">IF(D620="","",IF(I620&lt;&gt;"",I620,TODAY())-D620)</f>
        <v/>
      </c>
    </row>
    <row r="621" customFormat="false" ht="15" hidden="false" customHeight="false" outlineLevel="0" collapsed="false">
      <c r="A621" s="9"/>
      <c r="B621" s="9"/>
      <c r="C621" s="9"/>
      <c r="D621" s="34"/>
      <c r="E621" s="9"/>
      <c r="F621" s="35"/>
      <c r="G621" s="35"/>
      <c r="H621" s="35"/>
      <c r="I621" s="34"/>
      <c r="J621" s="35"/>
      <c r="K621" s="35"/>
      <c r="L621" s="39" t="str">
        <f aca="false">IF(A621="","",IF(I621&lt;&gt;"","Vendu","En stock"))</f>
        <v/>
      </c>
      <c r="M621" s="17" t="str">
        <f aca="false">IF(J621="","",J621-F621-G621-K621)</f>
        <v/>
      </c>
      <c r="N621" s="40" t="str">
        <f aca="false">IF(OR(J621="",J621=0),"",M621/J621)</f>
        <v/>
      </c>
      <c r="O621" s="41" t="str">
        <f aca="true">IF(D621="","",IF(I621&lt;&gt;"",I621,TODAY())-D621)</f>
        <v/>
      </c>
    </row>
    <row r="622" customFormat="false" ht="15" hidden="false" customHeight="false" outlineLevel="0" collapsed="false">
      <c r="A622" s="9"/>
      <c r="B622" s="9"/>
      <c r="C622" s="9"/>
      <c r="D622" s="34"/>
      <c r="E622" s="9"/>
      <c r="F622" s="35"/>
      <c r="G622" s="35"/>
      <c r="H622" s="35"/>
      <c r="I622" s="34"/>
      <c r="J622" s="35"/>
      <c r="K622" s="35"/>
      <c r="L622" s="39" t="str">
        <f aca="false">IF(A622="","",IF(I622&lt;&gt;"","Vendu","En stock"))</f>
        <v/>
      </c>
      <c r="M622" s="17" t="str">
        <f aca="false">IF(J622="","",J622-F622-G622-K622)</f>
        <v/>
      </c>
      <c r="N622" s="40" t="str">
        <f aca="false">IF(OR(J622="",J622=0),"",M622/J622)</f>
        <v/>
      </c>
      <c r="O622" s="41" t="str">
        <f aca="true">IF(D622="","",IF(I622&lt;&gt;"",I622,TODAY())-D622)</f>
        <v/>
      </c>
    </row>
    <row r="623" customFormat="false" ht="15" hidden="false" customHeight="false" outlineLevel="0" collapsed="false">
      <c r="A623" s="9"/>
      <c r="B623" s="9"/>
      <c r="C623" s="9"/>
      <c r="D623" s="34"/>
      <c r="E623" s="9"/>
      <c r="F623" s="35"/>
      <c r="G623" s="35"/>
      <c r="H623" s="35"/>
      <c r="I623" s="34"/>
      <c r="J623" s="35"/>
      <c r="K623" s="35"/>
      <c r="L623" s="39" t="str">
        <f aca="false">IF(A623="","",IF(I623&lt;&gt;"","Vendu","En stock"))</f>
        <v/>
      </c>
      <c r="M623" s="17" t="str">
        <f aca="false">IF(J623="","",J623-F623-G623-K623)</f>
        <v/>
      </c>
      <c r="N623" s="40" t="str">
        <f aca="false">IF(OR(J623="",J623=0),"",M623/J623)</f>
        <v/>
      </c>
      <c r="O623" s="41" t="str">
        <f aca="true">IF(D623="","",IF(I623&lt;&gt;"",I623,TODAY())-D623)</f>
        <v/>
      </c>
    </row>
    <row r="624" customFormat="false" ht="15" hidden="false" customHeight="false" outlineLevel="0" collapsed="false">
      <c r="A624" s="9"/>
      <c r="B624" s="9"/>
      <c r="C624" s="9"/>
      <c r="D624" s="34"/>
      <c r="E624" s="9"/>
      <c r="F624" s="35"/>
      <c r="G624" s="35"/>
      <c r="H624" s="35"/>
      <c r="I624" s="34"/>
      <c r="J624" s="35"/>
      <c r="K624" s="35"/>
      <c r="L624" s="39" t="str">
        <f aca="false">IF(A624="","",IF(I624&lt;&gt;"","Vendu","En stock"))</f>
        <v/>
      </c>
      <c r="M624" s="17" t="str">
        <f aca="false">IF(J624="","",J624-F624-G624-K624)</f>
        <v/>
      </c>
      <c r="N624" s="40" t="str">
        <f aca="false">IF(OR(J624="",J624=0),"",M624/J624)</f>
        <v/>
      </c>
      <c r="O624" s="41" t="str">
        <f aca="true">IF(D624="","",IF(I624&lt;&gt;"",I624,TODAY())-D624)</f>
        <v/>
      </c>
    </row>
    <row r="625" customFormat="false" ht="15" hidden="false" customHeight="false" outlineLevel="0" collapsed="false">
      <c r="A625" s="9"/>
      <c r="B625" s="9"/>
      <c r="C625" s="9"/>
      <c r="D625" s="34"/>
      <c r="E625" s="9"/>
      <c r="F625" s="35"/>
      <c r="G625" s="35"/>
      <c r="H625" s="35"/>
      <c r="I625" s="34"/>
      <c r="J625" s="35"/>
      <c r="K625" s="35"/>
      <c r="L625" s="39" t="str">
        <f aca="false">IF(A625="","",IF(I625&lt;&gt;"","Vendu","En stock"))</f>
        <v/>
      </c>
      <c r="M625" s="17" t="str">
        <f aca="false">IF(J625="","",J625-F625-G625-K625)</f>
        <v/>
      </c>
      <c r="N625" s="40" t="str">
        <f aca="false">IF(OR(J625="",J625=0),"",M625/J625)</f>
        <v/>
      </c>
      <c r="O625" s="41" t="str">
        <f aca="true">IF(D625="","",IF(I625&lt;&gt;"",I625,TODAY())-D625)</f>
        <v/>
      </c>
    </row>
    <row r="626" customFormat="false" ht="15" hidden="false" customHeight="false" outlineLevel="0" collapsed="false">
      <c r="A626" s="9"/>
      <c r="B626" s="9"/>
      <c r="C626" s="9"/>
      <c r="D626" s="34"/>
      <c r="E626" s="9"/>
      <c r="F626" s="35"/>
      <c r="G626" s="35"/>
      <c r="H626" s="35"/>
      <c r="I626" s="34"/>
      <c r="J626" s="35"/>
      <c r="K626" s="35"/>
      <c r="L626" s="39" t="str">
        <f aca="false">IF(A626="","",IF(I626&lt;&gt;"","Vendu","En stock"))</f>
        <v/>
      </c>
      <c r="M626" s="17" t="str">
        <f aca="false">IF(J626="","",J626-F626-G626-K626)</f>
        <v/>
      </c>
      <c r="N626" s="40" t="str">
        <f aca="false">IF(OR(J626="",J626=0),"",M626/J626)</f>
        <v/>
      </c>
      <c r="O626" s="41" t="str">
        <f aca="true">IF(D626="","",IF(I626&lt;&gt;"",I626,TODAY())-D626)</f>
        <v/>
      </c>
    </row>
    <row r="627" customFormat="false" ht="15" hidden="false" customHeight="false" outlineLevel="0" collapsed="false">
      <c r="A627" s="9"/>
      <c r="B627" s="9"/>
      <c r="C627" s="9"/>
      <c r="D627" s="34"/>
      <c r="E627" s="9"/>
      <c r="F627" s="35"/>
      <c r="G627" s="35"/>
      <c r="H627" s="35"/>
      <c r="I627" s="34"/>
      <c r="J627" s="35"/>
      <c r="K627" s="35"/>
      <c r="L627" s="39" t="str">
        <f aca="false">IF(A627="","",IF(I627&lt;&gt;"","Vendu","En stock"))</f>
        <v/>
      </c>
      <c r="M627" s="17" t="str">
        <f aca="false">IF(J627="","",J627-F627-G627-K627)</f>
        <v/>
      </c>
      <c r="N627" s="40" t="str">
        <f aca="false">IF(OR(J627="",J627=0),"",M627/J627)</f>
        <v/>
      </c>
      <c r="O627" s="41" t="str">
        <f aca="true">IF(D627="","",IF(I627&lt;&gt;"",I627,TODAY())-D627)</f>
        <v/>
      </c>
    </row>
    <row r="628" customFormat="false" ht="15" hidden="false" customHeight="false" outlineLevel="0" collapsed="false">
      <c r="A628" s="9"/>
      <c r="B628" s="9"/>
      <c r="C628" s="9"/>
      <c r="D628" s="34"/>
      <c r="E628" s="9"/>
      <c r="F628" s="35"/>
      <c r="G628" s="35"/>
      <c r="H628" s="35"/>
      <c r="I628" s="34"/>
      <c r="J628" s="35"/>
      <c r="K628" s="35"/>
      <c r="L628" s="39" t="str">
        <f aca="false">IF(A628="","",IF(I628&lt;&gt;"","Vendu","En stock"))</f>
        <v/>
      </c>
      <c r="M628" s="17" t="str">
        <f aca="false">IF(J628="","",J628-F628-G628-K628)</f>
        <v/>
      </c>
      <c r="N628" s="40" t="str">
        <f aca="false">IF(OR(J628="",J628=0),"",M628/J628)</f>
        <v/>
      </c>
      <c r="O628" s="41" t="str">
        <f aca="true">IF(D628="","",IF(I628&lt;&gt;"",I628,TODAY())-D628)</f>
        <v/>
      </c>
    </row>
    <row r="629" customFormat="false" ht="15" hidden="false" customHeight="false" outlineLevel="0" collapsed="false">
      <c r="A629" s="9"/>
      <c r="B629" s="9"/>
      <c r="C629" s="9"/>
      <c r="D629" s="34"/>
      <c r="E629" s="9"/>
      <c r="F629" s="35"/>
      <c r="G629" s="35"/>
      <c r="H629" s="35"/>
      <c r="I629" s="34"/>
      <c r="J629" s="35"/>
      <c r="K629" s="35"/>
      <c r="L629" s="39" t="str">
        <f aca="false">IF(A629="","",IF(I629&lt;&gt;"","Vendu","En stock"))</f>
        <v/>
      </c>
      <c r="M629" s="17" t="str">
        <f aca="false">IF(J629="","",J629-F629-G629-K629)</f>
        <v/>
      </c>
      <c r="N629" s="40" t="str">
        <f aca="false">IF(OR(J629="",J629=0),"",M629/J629)</f>
        <v/>
      </c>
      <c r="O629" s="41" t="str">
        <f aca="true">IF(D629="","",IF(I629&lt;&gt;"",I629,TODAY())-D629)</f>
        <v/>
      </c>
    </row>
    <row r="630" customFormat="false" ht="15" hidden="false" customHeight="false" outlineLevel="0" collapsed="false">
      <c r="A630" s="9"/>
      <c r="B630" s="9"/>
      <c r="C630" s="9"/>
      <c r="D630" s="34"/>
      <c r="E630" s="9"/>
      <c r="F630" s="35"/>
      <c r="G630" s="35"/>
      <c r="H630" s="35"/>
      <c r="I630" s="34"/>
      <c r="J630" s="35"/>
      <c r="K630" s="35"/>
      <c r="L630" s="39" t="str">
        <f aca="false">IF(A630="","",IF(I630&lt;&gt;"","Vendu","En stock"))</f>
        <v/>
      </c>
      <c r="M630" s="17" t="str">
        <f aca="false">IF(J630="","",J630-F630-G630-K630)</f>
        <v/>
      </c>
      <c r="N630" s="40" t="str">
        <f aca="false">IF(OR(J630="",J630=0),"",M630/J630)</f>
        <v/>
      </c>
      <c r="O630" s="41" t="str">
        <f aca="true">IF(D630="","",IF(I630&lt;&gt;"",I630,TODAY())-D630)</f>
        <v/>
      </c>
    </row>
    <row r="631" customFormat="false" ht="15" hidden="false" customHeight="false" outlineLevel="0" collapsed="false">
      <c r="A631" s="9"/>
      <c r="B631" s="9"/>
      <c r="C631" s="9"/>
      <c r="D631" s="34"/>
      <c r="E631" s="9"/>
      <c r="F631" s="35"/>
      <c r="G631" s="35"/>
      <c r="H631" s="35"/>
      <c r="I631" s="34"/>
      <c r="J631" s="35"/>
      <c r="K631" s="35"/>
      <c r="L631" s="39" t="str">
        <f aca="false">IF(A631="","",IF(I631&lt;&gt;"","Vendu","En stock"))</f>
        <v/>
      </c>
      <c r="M631" s="17" t="str">
        <f aca="false">IF(J631="","",J631-F631-G631-K631)</f>
        <v/>
      </c>
      <c r="N631" s="40" t="str">
        <f aca="false">IF(OR(J631="",J631=0),"",M631/J631)</f>
        <v/>
      </c>
      <c r="O631" s="41" t="str">
        <f aca="true">IF(D631="","",IF(I631&lt;&gt;"",I631,TODAY())-D631)</f>
        <v/>
      </c>
    </row>
    <row r="632" customFormat="false" ht="15" hidden="false" customHeight="false" outlineLevel="0" collapsed="false">
      <c r="A632" s="9"/>
      <c r="B632" s="9"/>
      <c r="C632" s="9"/>
      <c r="D632" s="34"/>
      <c r="E632" s="9"/>
      <c r="F632" s="35"/>
      <c r="G632" s="35"/>
      <c r="H632" s="35"/>
      <c r="I632" s="34"/>
      <c r="J632" s="35"/>
      <c r="K632" s="35"/>
      <c r="L632" s="39" t="str">
        <f aca="false">IF(A632="","",IF(I632&lt;&gt;"","Vendu","En stock"))</f>
        <v/>
      </c>
      <c r="M632" s="17" t="str">
        <f aca="false">IF(J632="","",J632-F632-G632-K632)</f>
        <v/>
      </c>
      <c r="N632" s="40" t="str">
        <f aca="false">IF(OR(J632="",J632=0),"",M632/J632)</f>
        <v/>
      </c>
      <c r="O632" s="41" t="str">
        <f aca="true">IF(D632="","",IF(I632&lt;&gt;"",I632,TODAY())-D632)</f>
        <v/>
      </c>
    </row>
    <row r="633" customFormat="false" ht="15" hidden="false" customHeight="false" outlineLevel="0" collapsed="false">
      <c r="A633" s="9"/>
      <c r="B633" s="9"/>
      <c r="C633" s="9"/>
      <c r="D633" s="34"/>
      <c r="E633" s="9"/>
      <c r="F633" s="35"/>
      <c r="G633" s="35"/>
      <c r="H633" s="35"/>
      <c r="I633" s="34"/>
      <c r="J633" s="35"/>
      <c r="K633" s="35"/>
      <c r="L633" s="39" t="str">
        <f aca="false">IF(A633="","",IF(I633&lt;&gt;"","Vendu","En stock"))</f>
        <v/>
      </c>
      <c r="M633" s="17" t="str">
        <f aca="false">IF(J633="","",J633-F633-G633-K633)</f>
        <v/>
      </c>
      <c r="N633" s="40" t="str">
        <f aca="false">IF(OR(J633="",J633=0),"",M633/J633)</f>
        <v/>
      </c>
      <c r="O633" s="41" t="str">
        <f aca="true">IF(D633="","",IF(I633&lt;&gt;"",I633,TODAY())-D633)</f>
        <v/>
      </c>
    </row>
    <row r="634" customFormat="false" ht="15" hidden="false" customHeight="false" outlineLevel="0" collapsed="false">
      <c r="A634" s="9"/>
      <c r="B634" s="9"/>
      <c r="C634" s="9"/>
      <c r="D634" s="34"/>
      <c r="E634" s="9"/>
      <c r="F634" s="35"/>
      <c r="G634" s="35"/>
      <c r="H634" s="35"/>
      <c r="I634" s="34"/>
      <c r="J634" s="35"/>
      <c r="K634" s="35"/>
      <c r="L634" s="39" t="str">
        <f aca="false">IF(A634="","",IF(I634&lt;&gt;"","Vendu","En stock"))</f>
        <v/>
      </c>
      <c r="M634" s="17" t="str">
        <f aca="false">IF(J634="","",J634-F634-G634-K634)</f>
        <v/>
      </c>
      <c r="N634" s="40" t="str">
        <f aca="false">IF(OR(J634="",J634=0),"",M634/J634)</f>
        <v/>
      </c>
      <c r="O634" s="41" t="str">
        <f aca="true">IF(D634="","",IF(I634&lt;&gt;"",I634,TODAY())-D634)</f>
        <v/>
      </c>
    </row>
    <row r="635" customFormat="false" ht="15" hidden="false" customHeight="false" outlineLevel="0" collapsed="false">
      <c r="A635" s="9"/>
      <c r="B635" s="9"/>
      <c r="C635" s="9"/>
      <c r="D635" s="34"/>
      <c r="E635" s="9"/>
      <c r="F635" s="35"/>
      <c r="G635" s="35"/>
      <c r="H635" s="35"/>
      <c r="I635" s="34"/>
      <c r="J635" s="35"/>
      <c r="K635" s="35"/>
      <c r="L635" s="39" t="str">
        <f aca="false">IF(A635="","",IF(I635&lt;&gt;"","Vendu","En stock"))</f>
        <v/>
      </c>
      <c r="M635" s="17" t="str">
        <f aca="false">IF(J635="","",J635-F635-G635-K635)</f>
        <v/>
      </c>
      <c r="N635" s="40" t="str">
        <f aca="false">IF(OR(J635="",J635=0),"",M635/J635)</f>
        <v/>
      </c>
      <c r="O635" s="41" t="str">
        <f aca="true">IF(D635="","",IF(I635&lt;&gt;"",I635,TODAY())-D635)</f>
        <v/>
      </c>
    </row>
    <row r="636" customFormat="false" ht="15" hidden="false" customHeight="false" outlineLevel="0" collapsed="false">
      <c r="A636" s="9"/>
      <c r="B636" s="9"/>
      <c r="C636" s="9"/>
      <c r="D636" s="34"/>
      <c r="E636" s="9"/>
      <c r="F636" s="35"/>
      <c r="G636" s="35"/>
      <c r="H636" s="35"/>
      <c r="I636" s="34"/>
      <c r="J636" s="35"/>
      <c r="K636" s="35"/>
      <c r="L636" s="39" t="str">
        <f aca="false">IF(A636="","",IF(I636&lt;&gt;"","Vendu","En stock"))</f>
        <v/>
      </c>
      <c r="M636" s="17" t="str">
        <f aca="false">IF(J636="","",J636-F636-G636-K636)</f>
        <v/>
      </c>
      <c r="N636" s="40" t="str">
        <f aca="false">IF(OR(J636="",J636=0),"",M636/J636)</f>
        <v/>
      </c>
      <c r="O636" s="41" t="str">
        <f aca="true">IF(D636="","",IF(I636&lt;&gt;"",I636,TODAY())-D636)</f>
        <v/>
      </c>
    </row>
    <row r="637" customFormat="false" ht="15" hidden="false" customHeight="false" outlineLevel="0" collapsed="false">
      <c r="A637" s="9"/>
      <c r="B637" s="9"/>
      <c r="C637" s="9"/>
      <c r="D637" s="34"/>
      <c r="E637" s="9"/>
      <c r="F637" s="35"/>
      <c r="G637" s="35"/>
      <c r="H637" s="35"/>
      <c r="I637" s="34"/>
      <c r="J637" s="35"/>
      <c r="K637" s="35"/>
      <c r="L637" s="39" t="str">
        <f aca="false">IF(A637="","",IF(I637&lt;&gt;"","Vendu","En stock"))</f>
        <v/>
      </c>
      <c r="M637" s="17" t="str">
        <f aca="false">IF(J637="","",J637-F637-G637-K637)</f>
        <v/>
      </c>
      <c r="N637" s="40" t="str">
        <f aca="false">IF(OR(J637="",J637=0),"",M637/J637)</f>
        <v/>
      </c>
      <c r="O637" s="41" t="str">
        <f aca="true">IF(D637="","",IF(I637&lt;&gt;"",I637,TODAY())-D637)</f>
        <v/>
      </c>
    </row>
    <row r="638" customFormat="false" ht="15" hidden="false" customHeight="false" outlineLevel="0" collapsed="false">
      <c r="A638" s="9"/>
      <c r="B638" s="9"/>
      <c r="C638" s="9"/>
      <c r="D638" s="34"/>
      <c r="E638" s="9"/>
      <c r="F638" s="35"/>
      <c r="G638" s="35"/>
      <c r="H638" s="35"/>
      <c r="I638" s="34"/>
      <c r="J638" s="35"/>
      <c r="K638" s="35"/>
      <c r="L638" s="39" t="str">
        <f aca="false">IF(A638="","",IF(I638&lt;&gt;"","Vendu","En stock"))</f>
        <v/>
      </c>
      <c r="M638" s="17" t="str">
        <f aca="false">IF(J638="","",J638-F638-G638-K638)</f>
        <v/>
      </c>
      <c r="N638" s="40" t="str">
        <f aca="false">IF(OR(J638="",J638=0),"",M638/J638)</f>
        <v/>
      </c>
      <c r="O638" s="41" t="str">
        <f aca="true">IF(D638="","",IF(I638&lt;&gt;"",I638,TODAY())-D638)</f>
        <v/>
      </c>
    </row>
    <row r="639" customFormat="false" ht="15" hidden="false" customHeight="false" outlineLevel="0" collapsed="false">
      <c r="A639" s="9"/>
      <c r="B639" s="9"/>
      <c r="C639" s="9"/>
      <c r="D639" s="34"/>
      <c r="E639" s="9"/>
      <c r="F639" s="35"/>
      <c r="G639" s="35"/>
      <c r="H639" s="35"/>
      <c r="I639" s="34"/>
      <c r="J639" s="35"/>
      <c r="K639" s="35"/>
      <c r="L639" s="39" t="str">
        <f aca="false">IF(A639="","",IF(I639&lt;&gt;"","Vendu","En stock"))</f>
        <v/>
      </c>
      <c r="M639" s="17" t="str">
        <f aca="false">IF(J639="","",J639-F639-G639-K639)</f>
        <v/>
      </c>
      <c r="N639" s="40" t="str">
        <f aca="false">IF(OR(J639="",J639=0),"",M639/J639)</f>
        <v/>
      </c>
      <c r="O639" s="41" t="str">
        <f aca="true">IF(D639="","",IF(I639&lt;&gt;"",I639,TODAY())-D639)</f>
        <v/>
      </c>
    </row>
    <row r="640" customFormat="false" ht="15" hidden="false" customHeight="false" outlineLevel="0" collapsed="false">
      <c r="A640" s="9"/>
      <c r="B640" s="9"/>
      <c r="C640" s="9"/>
      <c r="D640" s="34"/>
      <c r="E640" s="9"/>
      <c r="F640" s="35"/>
      <c r="G640" s="35"/>
      <c r="H640" s="35"/>
      <c r="I640" s="34"/>
      <c r="J640" s="35"/>
      <c r="K640" s="35"/>
      <c r="L640" s="39" t="str">
        <f aca="false">IF(A640="","",IF(I640&lt;&gt;"","Vendu","En stock"))</f>
        <v/>
      </c>
      <c r="M640" s="17" t="str">
        <f aca="false">IF(J640="","",J640-F640-G640-K640)</f>
        <v/>
      </c>
      <c r="N640" s="40" t="str">
        <f aca="false">IF(OR(J640="",J640=0),"",M640/J640)</f>
        <v/>
      </c>
      <c r="O640" s="41" t="str">
        <f aca="true">IF(D640="","",IF(I640&lt;&gt;"",I640,TODAY())-D640)</f>
        <v/>
      </c>
    </row>
    <row r="641" customFormat="false" ht="15" hidden="false" customHeight="false" outlineLevel="0" collapsed="false">
      <c r="A641" s="9"/>
      <c r="B641" s="9"/>
      <c r="C641" s="9"/>
      <c r="D641" s="34"/>
      <c r="E641" s="9"/>
      <c r="F641" s="35"/>
      <c r="G641" s="35"/>
      <c r="H641" s="35"/>
      <c r="I641" s="34"/>
      <c r="J641" s="35"/>
      <c r="K641" s="35"/>
      <c r="L641" s="39" t="str">
        <f aca="false">IF(A641="","",IF(I641&lt;&gt;"","Vendu","En stock"))</f>
        <v/>
      </c>
      <c r="M641" s="17" t="str">
        <f aca="false">IF(J641="","",J641-F641-G641-K641)</f>
        <v/>
      </c>
      <c r="N641" s="40" t="str">
        <f aca="false">IF(OR(J641="",J641=0),"",M641/J641)</f>
        <v/>
      </c>
      <c r="O641" s="41" t="str">
        <f aca="true">IF(D641="","",IF(I641&lt;&gt;"",I641,TODAY())-D641)</f>
        <v/>
      </c>
    </row>
    <row r="642" customFormat="false" ht="15" hidden="false" customHeight="false" outlineLevel="0" collapsed="false">
      <c r="A642" s="9"/>
      <c r="B642" s="9"/>
      <c r="C642" s="9"/>
      <c r="D642" s="34"/>
      <c r="E642" s="9"/>
      <c r="F642" s="35"/>
      <c r="G642" s="35"/>
      <c r="H642" s="35"/>
      <c r="I642" s="34"/>
      <c r="J642" s="35"/>
      <c r="K642" s="35"/>
      <c r="L642" s="39" t="str">
        <f aca="false">IF(A642="","",IF(I642&lt;&gt;"","Vendu","En stock"))</f>
        <v/>
      </c>
      <c r="M642" s="17" t="str">
        <f aca="false">IF(J642="","",J642-F642-G642-K642)</f>
        <v/>
      </c>
      <c r="N642" s="40" t="str">
        <f aca="false">IF(OR(J642="",J642=0),"",M642/J642)</f>
        <v/>
      </c>
      <c r="O642" s="41" t="str">
        <f aca="true">IF(D642="","",IF(I642&lt;&gt;"",I642,TODAY())-D642)</f>
        <v/>
      </c>
    </row>
    <row r="643" customFormat="false" ht="15" hidden="false" customHeight="false" outlineLevel="0" collapsed="false">
      <c r="A643" s="9"/>
      <c r="B643" s="9"/>
      <c r="C643" s="9"/>
      <c r="D643" s="34"/>
      <c r="E643" s="9"/>
      <c r="F643" s="35"/>
      <c r="G643" s="35"/>
      <c r="H643" s="35"/>
      <c r="I643" s="34"/>
      <c r="J643" s="35"/>
      <c r="K643" s="35"/>
      <c r="L643" s="39" t="str">
        <f aca="false">IF(A643="","",IF(I643&lt;&gt;"","Vendu","En stock"))</f>
        <v/>
      </c>
      <c r="M643" s="17" t="str">
        <f aca="false">IF(J643="","",J643-F643-G643-K643)</f>
        <v/>
      </c>
      <c r="N643" s="40" t="str">
        <f aca="false">IF(OR(J643="",J643=0),"",M643/J643)</f>
        <v/>
      </c>
      <c r="O643" s="41" t="str">
        <f aca="true">IF(D643="","",IF(I643&lt;&gt;"",I643,TODAY())-D643)</f>
        <v/>
      </c>
    </row>
    <row r="644" customFormat="false" ht="15" hidden="false" customHeight="false" outlineLevel="0" collapsed="false">
      <c r="A644" s="9"/>
      <c r="B644" s="9"/>
      <c r="C644" s="9"/>
      <c r="D644" s="34"/>
      <c r="E644" s="9"/>
      <c r="F644" s="35"/>
      <c r="G644" s="35"/>
      <c r="H644" s="35"/>
      <c r="I644" s="34"/>
      <c r="J644" s="35"/>
      <c r="K644" s="35"/>
      <c r="L644" s="39" t="str">
        <f aca="false">IF(A644="","",IF(I644&lt;&gt;"","Vendu","En stock"))</f>
        <v/>
      </c>
      <c r="M644" s="17" t="str">
        <f aca="false">IF(J644="","",J644-F644-G644-K644)</f>
        <v/>
      </c>
      <c r="N644" s="40" t="str">
        <f aca="false">IF(OR(J644="",J644=0),"",M644/J644)</f>
        <v/>
      </c>
      <c r="O644" s="41" t="str">
        <f aca="true">IF(D644="","",IF(I644&lt;&gt;"",I644,TODAY())-D644)</f>
        <v/>
      </c>
    </row>
    <row r="645" customFormat="false" ht="15" hidden="false" customHeight="false" outlineLevel="0" collapsed="false">
      <c r="A645" s="9"/>
      <c r="B645" s="9"/>
      <c r="C645" s="9"/>
      <c r="D645" s="34"/>
      <c r="E645" s="9"/>
      <c r="F645" s="35"/>
      <c r="G645" s="35"/>
      <c r="H645" s="35"/>
      <c r="I645" s="34"/>
      <c r="J645" s="35"/>
      <c r="K645" s="35"/>
      <c r="L645" s="39" t="str">
        <f aca="false">IF(A645="","",IF(I645&lt;&gt;"","Vendu","En stock"))</f>
        <v/>
      </c>
      <c r="M645" s="17" t="str">
        <f aca="false">IF(J645="","",J645-F645-G645-K645)</f>
        <v/>
      </c>
      <c r="N645" s="40" t="str">
        <f aca="false">IF(OR(J645="",J645=0),"",M645/J645)</f>
        <v/>
      </c>
      <c r="O645" s="41" t="str">
        <f aca="true">IF(D645="","",IF(I645&lt;&gt;"",I645,TODAY())-D645)</f>
        <v/>
      </c>
    </row>
    <row r="646" customFormat="false" ht="15" hidden="false" customHeight="false" outlineLevel="0" collapsed="false">
      <c r="A646" s="9"/>
      <c r="B646" s="9"/>
      <c r="C646" s="9"/>
      <c r="D646" s="34"/>
      <c r="E646" s="9"/>
      <c r="F646" s="35"/>
      <c r="G646" s="35"/>
      <c r="H646" s="35"/>
      <c r="I646" s="34"/>
      <c r="J646" s="35"/>
      <c r="K646" s="35"/>
      <c r="L646" s="39" t="str">
        <f aca="false">IF(A646="","",IF(I646&lt;&gt;"","Vendu","En stock"))</f>
        <v/>
      </c>
      <c r="M646" s="17" t="str">
        <f aca="false">IF(J646="","",J646-F646-G646-K646)</f>
        <v/>
      </c>
      <c r="N646" s="40" t="str">
        <f aca="false">IF(OR(J646="",J646=0),"",M646/J646)</f>
        <v/>
      </c>
      <c r="O646" s="41" t="str">
        <f aca="true">IF(D646="","",IF(I646&lt;&gt;"",I646,TODAY())-D646)</f>
        <v/>
      </c>
    </row>
    <row r="647" customFormat="false" ht="15" hidden="false" customHeight="false" outlineLevel="0" collapsed="false">
      <c r="A647" s="9"/>
      <c r="B647" s="9"/>
      <c r="C647" s="9"/>
      <c r="D647" s="34"/>
      <c r="E647" s="9"/>
      <c r="F647" s="35"/>
      <c r="G647" s="35"/>
      <c r="H647" s="35"/>
      <c r="I647" s="34"/>
      <c r="J647" s="35"/>
      <c r="K647" s="35"/>
      <c r="L647" s="39" t="str">
        <f aca="false">IF(A647="","",IF(I647&lt;&gt;"","Vendu","En stock"))</f>
        <v/>
      </c>
      <c r="M647" s="17" t="str">
        <f aca="false">IF(J647="","",J647-F647-G647-K647)</f>
        <v/>
      </c>
      <c r="N647" s="40" t="str">
        <f aca="false">IF(OR(J647="",J647=0),"",M647/J647)</f>
        <v/>
      </c>
      <c r="O647" s="41" t="str">
        <f aca="true">IF(D647="","",IF(I647&lt;&gt;"",I647,TODAY())-D647)</f>
        <v/>
      </c>
    </row>
    <row r="648" customFormat="false" ht="15" hidden="false" customHeight="false" outlineLevel="0" collapsed="false">
      <c r="A648" s="9"/>
      <c r="B648" s="9"/>
      <c r="C648" s="9"/>
      <c r="D648" s="34"/>
      <c r="E648" s="9"/>
      <c r="F648" s="35"/>
      <c r="G648" s="35"/>
      <c r="H648" s="35"/>
      <c r="I648" s="34"/>
      <c r="J648" s="35"/>
      <c r="K648" s="35"/>
      <c r="L648" s="39" t="str">
        <f aca="false">IF(A648="","",IF(I648&lt;&gt;"","Vendu","En stock"))</f>
        <v/>
      </c>
      <c r="M648" s="17" t="str">
        <f aca="false">IF(J648="","",J648-F648-G648-K648)</f>
        <v/>
      </c>
      <c r="N648" s="40" t="str">
        <f aca="false">IF(OR(J648="",J648=0),"",M648/J648)</f>
        <v/>
      </c>
      <c r="O648" s="41" t="str">
        <f aca="true">IF(D648="","",IF(I648&lt;&gt;"",I648,TODAY())-D648)</f>
        <v/>
      </c>
    </row>
    <row r="649" customFormat="false" ht="15" hidden="false" customHeight="false" outlineLevel="0" collapsed="false">
      <c r="A649" s="9"/>
      <c r="B649" s="9"/>
      <c r="C649" s="9"/>
      <c r="D649" s="34"/>
      <c r="E649" s="9"/>
      <c r="F649" s="35"/>
      <c r="G649" s="35"/>
      <c r="H649" s="35"/>
      <c r="I649" s="34"/>
      <c r="J649" s="35"/>
      <c r="K649" s="35"/>
      <c r="L649" s="39" t="str">
        <f aca="false">IF(A649="","",IF(I649&lt;&gt;"","Vendu","En stock"))</f>
        <v/>
      </c>
      <c r="M649" s="17" t="str">
        <f aca="false">IF(J649="","",J649-F649-G649-K649)</f>
        <v/>
      </c>
      <c r="N649" s="40" t="str">
        <f aca="false">IF(OR(J649="",J649=0),"",M649/J649)</f>
        <v/>
      </c>
      <c r="O649" s="41" t="str">
        <f aca="true">IF(D649="","",IF(I649&lt;&gt;"",I649,TODAY())-D649)</f>
        <v/>
      </c>
    </row>
    <row r="650" customFormat="false" ht="15" hidden="false" customHeight="false" outlineLevel="0" collapsed="false">
      <c r="A650" s="9"/>
      <c r="B650" s="9"/>
      <c r="C650" s="9"/>
      <c r="D650" s="34"/>
      <c r="E650" s="9"/>
      <c r="F650" s="35"/>
      <c r="G650" s="35"/>
      <c r="H650" s="35"/>
      <c r="I650" s="34"/>
      <c r="J650" s="35"/>
      <c r="K650" s="35"/>
      <c r="L650" s="39" t="str">
        <f aca="false">IF(A650="","",IF(I650&lt;&gt;"","Vendu","En stock"))</f>
        <v/>
      </c>
      <c r="M650" s="17" t="str">
        <f aca="false">IF(J650="","",J650-F650-G650-K650)</f>
        <v/>
      </c>
      <c r="N650" s="40" t="str">
        <f aca="false">IF(OR(J650="",J650=0),"",M650/J650)</f>
        <v/>
      </c>
      <c r="O650" s="41" t="str">
        <f aca="true">IF(D650="","",IF(I650&lt;&gt;"",I650,TODAY())-D650)</f>
        <v/>
      </c>
    </row>
    <row r="651" customFormat="false" ht="15" hidden="false" customHeight="false" outlineLevel="0" collapsed="false">
      <c r="A651" s="9"/>
      <c r="B651" s="9"/>
      <c r="C651" s="9"/>
      <c r="D651" s="34"/>
      <c r="E651" s="9"/>
      <c r="F651" s="35"/>
      <c r="G651" s="35"/>
      <c r="H651" s="35"/>
      <c r="I651" s="34"/>
      <c r="J651" s="35"/>
      <c r="K651" s="35"/>
      <c r="L651" s="39" t="str">
        <f aca="false">IF(A651="","",IF(I651&lt;&gt;"","Vendu","En stock"))</f>
        <v/>
      </c>
      <c r="M651" s="17" t="str">
        <f aca="false">IF(J651="","",J651-F651-G651-K651)</f>
        <v/>
      </c>
      <c r="N651" s="40" t="str">
        <f aca="false">IF(OR(J651="",J651=0),"",M651/J651)</f>
        <v/>
      </c>
      <c r="O651" s="41" t="str">
        <f aca="true">IF(D651="","",IF(I651&lt;&gt;"",I651,TODAY())-D651)</f>
        <v/>
      </c>
    </row>
    <row r="652" customFormat="false" ht="15" hidden="false" customHeight="false" outlineLevel="0" collapsed="false">
      <c r="A652" s="9"/>
      <c r="B652" s="9"/>
      <c r="C652" s="9"/>
      <c r="D652" s="34"/>
      <c r="E652" s="9"/>
      <c r="F652" s="35"/>
      <c r="G652" s="35"/>
      <c r="H652" s="35"/>
      <c r="I652" s="34"/>
      <c r="J652" s="35"/>
      <c r="K652" s="35"/>
      <c r="L652" s="39" t="str">
        <f aca="false">IF(A652="","",IF(I652&lt;&gt;"","Vendu","En stock"))</f>
        <v/>
      </c>
      <c r="M652" s="17" t="str">
        <f aca="false">IF(J652="","",J652-F652-G652-K652)</f>
        <v/>
      </c>
      <c r="N652" s="40" t="str">
        <f aca="false">IF(OR(J652="",J652=0),"",M652/J652)</f>
        <v/>
      </c>
      <c r="O652" s="41" t="str">
        <f aca="true">IF(D652="","",IF(I652&lt;&gt;"",I652,TODAY())-D652)</f>
        <v/>
      </c>
    </row>
    <row r="653" customFormat="false" ht="15" hidden="false" customHeight="false" outlineLevel="0" collapsed="false">
      <c r="A653" s="9"/>
      <c r="B653" s="9"/>
      <c r="C653" s="9"/>
      <c r="D653" s="34"/>
      <c r="E653" s="9"/>
      <c r="F653" s="35"/>
      <c r="G653" s="35"/>
      <c r="H653" s="35"/>
      <c r="I653" s="34"/>
      <c r="J653" s="35"/>
      <c r="K653" s="35"/>
      <c r="L653" s="39" t="str">
        <f aca="false">IF(A653="","",IF(I653&lt;&gt;"","Vendu","En stock"))</f>
        <v/>
      </c>
      <c r="M653" s="17" t="str">
        <f aca="false">IF(J653="","",J653-F653-G653-K653)</f>
        <v/>
      </c>
      <c r="N653" s="40" t="str">
        <f aca="false">IF(OR(J653="",J653=0),"",M653/J653)</f>
        <v/>
      </c>
      <c r="O653" s="41" t="str">
        <f aca="true">IF(D653="","",IF(I653&lt;&gt;"",I653,TODAY())-D653)</f>
        <v/>
      </c>
    </row>
    <row r="654" customFormat="false" ht="15" hidden="false" customHeight="false" outlineLevel="0" collapsed="false">
      <c r="A654" s="9"/>
      <c r="B654" s="9"/>
      <c r="C654" s="9"/>
      <c r="D654" s="34"/>
      <c r="E654" s="9"/>
      <c r="F654" s="35"/>
      <c r="G654" s="35"/>
      <c r="H654" s="35"/>
      <c r="I654" s="34"/>
      <c r="J654" s="35"/>
      <c r="K654" s="35"/>
      <c r="L654" s="39" t="str">
        <f aca="false">IF(A654="","",IF(I654&lt;&gt;"","Vendu","En stock"))</f>
        <v/>
      </c>
      <c r="M654" s="17" t="str">
        <f aca="false">IF(J654="","",J654-F654-G654-K654)</f>
        <v/>
      </c>
      <c r="N654" s="40" t="str">
        <f aca="false">IF(OR(J654="",J654=0),"",M654/J654)</f>
        <v/>
      </c>
      <c r="O654" s="41" t="str">
        <f aca="true">IF(D654="","",IF(I654&lt;&gt;"",I654,TODAY())-D654)</f>
        <v/>
      </c>
    </row>
    <row r="655" customFormat="false" ht="15" hidden="false" customHeight="false" outlineLevel="0" collapsed="false">
      <c r="A655" s="9"/>
      <c r="B655" s="9"/>
      <c r="C655" s="9"/>
      <c r="D655" s="34"/>
      <c r="E655" s="9"/>
      <c r="F655" s="35"/>
      <c r="G655" s="35"/>
      <c r="H655" s="35"/>
      <c r="I655" s="34"/>
      <c r="J655" s="35"/>
      <c r="K655" s="35"/>
      <c r="L655" s="39" t="str">
        <f aca="false">IF(A655="","",IF(I655&lt;&gt;"","Vendu","En stock"))</f>
        <v/>
      </c>
      <c r="M655" s="17" t="str">
        <f aca="false">IF(J655="","",J655-F655-G655-K655)</f>
        <v/>
      </c>
      <c r="N655" s="40" t="str">
        <f aca="false">IF(OR(J655="",J655=0),"",M655/J655)</f>
        <v/>
      </c>
      <c r="O655" s="41" t="str">
        <f aca="true">IF(D655="","",IF(I655&lt;&gt;"",I655,TODAY())-D655)</f>
        <v/>
      </c>
    </row>
    <row r="656" customFormat="false" ht="15" hidden="false" customHeight="false" outlineLevel="0" collapsed="false">
      <c r="A656" s="9"/>
      <c r="B656" s="9"/>
      <c r="C656" s="9"/>
      <c r="D656" s="34"/>
      <c r="E656" s="9"/>
      <c r="F656" s="35"/>
      <c r="G656" s="35"/>
      <c r="H656" s="35"/>
      <c r="I656" s="34"/>
      <c r="J656" s="35"/>
      <c r="K656" s="35"/>
      <c r="L656" s="39" t="str">
        <f aca="false">IF(A656="","",IF(I656&lt;&gt;"","Vendu","En stock"))</f>
        <v/>
      </c>
      <c r="M656" s="17" t="str">
        <f aca="false">IF(J656="","",J656-F656-G656-K656)</f>
        <v/>
      </c>
      <c r="N656" s="40" t="str">
        <f aca="false">IF(OR(J656="",J656=0),"",M656/J656)</f>
        <v/>
      </c>
      <c r="O656" s="41" t="str">
        <f aca="true">IF(D656="","",IF(I656&lt;&gt;"",I656,TODAY())-D656)</f>
        <v/>
      </c>
    </row>
    <row r="657" customFormat="false" ht="15" hidden="false" customHeight="false" outlineLevel="0" collapsed="false">
      <c r="A657" s="9"/>
      <c r="B657" s="9"/>
      <c r="C657" s="9"/>
      <c r="D657" s="34"/>
      <c r="E657" s="9"/>
      <c r="F657" s="35"/>
      <c r="G657" s="35"/>
      <c r="H657" s="35"/>
      <c r="I657" s="34"/>
      <c r="J657" s="35"/>
      <c r="K657" s="35"/>
      <c r="L657" s="39" t="str">
        <f aca="false">IF(A657="","",IF(I657&lt;&gt;"","Vendu","En stock"))</f>
        <v/>
      </c>
      <c r="M657" s="17" t="str">
        <f aca="false">IF(J657="","",J657-F657-G657-K657)</f>
        <v/>
      </c>
      <c r="N657" s="40" t="str">
        <f aca="false">IF(OR(J657="",J657=0),"",M657/J657)</f>
        <v/>
      </c>
      <c r="O657" s="41" t="str">
        <f aca="true">IF(D657="","",IF(I657&lt;&gt;"",I657,TODAY())-D657)</f>
        <v/>
      </c>
    </row>
    <row r="658" customFormat="false" ht="15" hidden="false" customHeight="false" outlineLevel="0" collapsed="false">
      <c r="A658" s="9"/>
      <c r="B658" s="9"/>
      <c r="C658" s="9"/>
      <c r="D658" s="34"/>
      <c r="E658" s="9"/>
      <c r="F658" s="35"/>
      <c r="G658" s="35"/>
      <c r="H658" s="35"/>
      <c r="I658" s="34"/>
      <c r="J658" s="35"/>
      <c r="K658" s="35"/>
      <c r="L658" s="39" t="str">
        <f aca="false">IF(A658="","",IF(I658&lt;&gt;"","Vendu","En stock"))</f>
        <v/>
      </c>
      <c r="M658" s="17" t="str">
        <f aca="false">IF(J658="","",J658-F658-G658-K658)</f>
        <v/>
      </c>
      <c r="N658" s="40" t="str">
        <f aca="false">IF(OR(J658="",J658=0),"",M658/J658)</f>
        <v/>
      </c>
      <c r="O658" s="41" t="str">
        <f aca="true">IF(D658="","",IF(I658&lt;&gt;"",I658,TODAY())-D658)</f>
        <v/>
      </c>
    </row>
    <row r="659" customFormat="false" ht="15" hidden="false" customHeight="false" outlineLevel="0" collapsed="false">
      <c r="A659" s="9"/>
      <c r="B659" s="9"/>
      <c r="C659" s="9"/>
      <c r="D659" s="34"/>
      <c r="E659" s="9"/>
      <c r="F659" s="35"/>
      <c r="G659" s="35"/>
      <c r="H659" s="35"/>
      <c r="I659" s="34"/>
      <c r="J659" s="35"/>
      <c r="K659" s="35"/>
      <c r="L659" s="39" t="str">
        <f aca="false">IF(A659="","",IF(I659&lt;&gt;"","Vendu","En stock"))</f>
        <v/>
      </c>
      <c r="M659" s="17" t="str">
        <f aca="false">IF(J659="","",J659-F659-G659-K659)</f>
        <v/>
      </c>
      <c r="N659" s="40" t="str">
        <f aca="false">IF(OR(J659="",J659=0),"",M659/J659)</f>
        <v/>
      </c>
      <c r="O659" s="41" t="str">
        <f aca="true">IF(D659="","",IF(I659&lt;&gt;"",I659,TODAY())-D659)</f>
        <v/>
      </c>
    </row>
    <row r="660" customFormat="false" ht="15" hidden="false" customHeight="false" outlineLevel="0" collapsed="false">
      <c r="A660" s="9"/>
      <c r="B660" s="9"/>
      <c r="C660" s="9"/>
      <c r="D660" s="34"/>
      <c r="E660" s="9"/>
      <c r="F660" s="35"/>
      <c r="G660" s="35"/>
      <c r="H660" s="35"/>
      <c r="I660" s="34"/>
      <c r="J660" s="35"/>
      <c r="K660" s="35"/>
      <c r="L660" s="39" t="str">
        <f aca="false">IF(A660="","",IF(I660&lt;&gt;"","Vendu","En stock"))</f>
        <v/>
      </c>
      <c r="M660" s="17" t="str">
        <f aca="false">IF(J660="","",J660-F660-G660-K660)</f>
        <v/>
      </c>
      <c r="N660" s="40" t="str">
        <f aca="false">IF(OR(J660="",J660=0),"",M660/J660)</f>
        <v/>
      </c>
      <c r="O660" s="41" t="str">
        <f aca="true">IF(D660="","",IF(I660&lt;&gt;"",I660,TODAY())-D660)</f>
        <v/>
      </c>
    </row>
    <row r="661" customFormat="false" ht="15" hidden="false" customHeight="false" outlineLevel="0" collapsed="false">
      <c r="A661" s="9"/>
      <c r="B661" s="9"/>
      <c r="C661" s="9"/>
      <c r="D661" s="34"/>
      <c r="E661" s="9"/>
      <c r="F661" s="35"/>
      <c r="G661" s="35"/>
      <c r="H661" s="35"/>
      <c r="I661" s="34"/>
      <c r="J661" s="35"/>
      <c r="K661" s="35"/>
      <c r="L661" s="39" t="str">
        <f aca="false">IF(A661="","",IF(I661&lt;&gt;"","Vendu","En stock"))</f>
        <v/>
      </c>
      <c r="M661" s="17" t="str">
        <f aca="false">IF(J661="","",J661-F661-G661-K661)</f>
        <v/>
      </c>
      <c r="N661" s="40" t="str">
        <f aca="false">IF(OR(J661="",J661=0),"",M661/J661)</f>
        <v/>
      </c>
      <c r="O661" s="41" t="str">
        <f aca="true">IF(D661="","",IF(I661&lt;&gt;"",I661,TODAY())-D661)</f>
        <v/>
      </c>
    </row>
    <row r="662" customFormat="false" ht="15" hidden="false" customHeight="false" outlineLevel="0" collapsed="false">
      <c r="A662" s="9"/>
      <c r="B662" s="9"/>
      <c r="C662" s="9"/>
      <c r="D662" s="34"/>
      <c r="E662" s="9"/>
      <c r="F662" s="35"/>
      <c r="G662" s="35"/>
      <c r="H662" s="35"/>
      <c r="I662" s="34"/>
      <c r="J662" s="35"/>
      <c r="K662" s="35"/>
      <c r="L662" s="39" t="str">
        <f aca="false">IF(A662="","",IF(I662&lt;&gt;"","Vendu","En stock"))</f>
        <v/>
      </c>
      <c r="M662" s="17" t="str">
        <f aca="false">IF(J662="","",J662-F662-G662-K662)</f>
        <v/>
      </c>
      <c r="N662" s="40" t="str">
        <f aca="false">IF(OR(J662="",J662=0),"",M662/J662)</f>
        <v/>
      </c>
      <c r="O662" s="41" t="str">
        <f aca="true">IF(D662="","",IF(I662&lt;&gt;"",I662,TODAY())-D662)</f>
        <v/>
      </c>
    </row>
    <row r="663" customFormat="false" ht="15" hidden="false" customHeight="false" outlineLevel="0" collapsed="false">
      <c r="A663" s="9"/>
      <c r="B663" s="9"/>
      <c r="C663" s="9"/>
      <c r="D663" s="34"/>
      <c r="E663" s="9"/>
      <c r="F663" s="35"/>
      <c r="G663" s="35"/>
      <c r="H663" s="35"/>
      <c r="I663" s="34"/>
      <c r="J663" s="35"/>
      <c r="K663" s="35"/>
      <c r="L663" s="39" t="str">
        <f aca="false">IF(A663="","",IF(I663&lt;&gt;"","Vendu","En stock"))</f>
        <v/>
      </c>
      <c r="M663" s="17" t="str">
        <f aca="false">IF(J663="","",J663-F663-G663-K663)</f>
        <v/>
      </c>
      <c r="N663" s="40" t="str">
        <f aca="false">IF(OR(J663="",J663=0),"",M663/J663)</f>
        <v/>
      </c>
      <c r="O663" s="41" t="str">
        <f aca="true">IF(D663="","",IF(I663&lt;&gt;"",I663,TODAY())-D663)</f>
        <v/>
      </c>
    </row>
    <row r="664" customFormat="false" ht="15" hidden="false" customHeight="false" outlineLevel="0" collapsed="false">
      <c r="A664" s="9"/>
      <c r="B664" s="9"/>
      <c r="C664" s="9"/>
      <c r="D664" s="34"/>
      <c r="E664" s="9"/>
      <c r="F664" s="35"/>
      <c r="G664" s="35"/>
      <c r="H664" s="35"/>
      <c r="I664" s="34"/>
      <c r="J664" s="35"/>
      <c r="K664" s="35"/>
      <c r="L664" s="39" t="str">
        <f aca="false">IF(A664="","",IF(I664&lt;&gt;"","Vendu","En stock"))</f>
        <v/>
      </c>
      <c r="M664" s="17" t="str">
        <f aca="false">IF(J664="","",J664-F664-G664-K664)</f>
        <v/>
      </c>
      <c r="N664" s="40" t="str">
        <f aca="false">IF(OR(J664="",J664=0),"",M664/J664)</f>
        <v/>
      </c>
      <c r="O664" s="41" t="str">
        <f aca="true">IF(D664="","",IF(I664&lt;&gt;"",I664,TODAY())-D664)</f>
        <v/>
      </c>
    </row>
    <row r="665" customFormat="false" ht="15" hidden="false" customHeight="false" outlineLevel="0" collapsed="false">
      <c r="A665" s="9"/>
      <c r="B665" s="9"/>
      <c r="C665" s="9"/>
      <c r="D665" s="34"/>
      <c r="E665" s="9"/>
      <c r="F665" s="35"/>
      <c r="G665" s="35"/>
      <c r="H665" s="35"/>
      <c r="I665" s="34"/>
      <c r="J665" s="35"/>
      <c r="K665" s="35"/>
      <c r="L665" s="39" t="str">
        <f aca="false">IF(A665="","",IF(I665&lt;&gt;"","Vendu","En stock"))</f>
        <v/>
      </c>
      <c r="M665" s="17" t="str">
        <f aca="false">IF(J665="","",J665-F665-G665-K665)</f>
        <v/>
      </c>
      <c r="N665" s="40" t="str">
        <f aca="false">IF(OR(J665="",J665=0),"",M665/J665)</f>
        <v/>
      </c>
      <c r="O665" s="41" t="str">
        <f aca="true">IF(D665="","",IF(I665&lt;&gt;"",I665,TODAY())-D665)</f>
        <v/>
      </c>
    </row>
    <row r="666" customFormat="false" ht="15" hidden="false" customHeight="false" outlineLevel="0" collapsed="false">
      <c r="A666" s="9"/>
      <c r="B666" s="9"/>
      <c r="C666" s="9"/>
      <c r="D666" s="34"/>
      <c r="E666" s="9"/>
      <c r="F666" s="35"/>
      <c r="G666" s="35"/>
      <c r="H666" s="35"/>
      <c r="I666" s="34"/>
      <c r="J666" s="35"/>
      <c r="K666" s="35"/>
      <c r="L666" s="39" t="str">
        <f aca="false">IF(A666="","",IF(I666&lt;&gt;"","Vendu","En stock"))</f>
        <v/>
      </c>
      <c r="M666" s="17" t="str">
        <f aca="false">IF(J666="","",J666-F666-G666-K666)</f>
        <v/>
      </c>
      <c r="N666" s="40" t="str">
        <f aca="false">IF(OR(J666="",J666=0),"",M666/J666)</f>
        <v/>
      </c>
      <c r="O666" s="41" t="str">
        <f aca="true">IF(D666="","",IF(I666&lt;&gt;"",I666,TODAY())-D666)</f>
        <v/>
      </c>
    </row>
    <row r="667" customFormat="false" ht="15" hidden="false" customHeight="false" outlineLevel="0" collapsed="false">
      <c r="A667" s="9"/>
      <c r="B667" s="9"/>
      <c r="C667" s="9"/>
      <c r="D667" s="34"/>
      <c r="E667" s="9"/>
      <c r="F667" s="35"/>
      <c r="G667" s="35"/>
      <c r="H667" s="35"/>
      <c r="I667" s="34"/>
      <c r="J667" s="35"/>
      <c r="K667" s="35"/>
      <c r="L667" s="39" t="str">
        <f aca="false">IF(A667="","",IF(I667&lt;&gt;"","Vendu","En stock"))</f>
        <v/>
      </c>
      <c r="M667" s="17" t="str">
        <f aca="false">IF(J667="","",J667-F667-G667-K667)</f>
        <v/>
      </c>
      <c r="N667" s="40" t="str">
        <f aca="false">IF(OR(J667="",J667=0),"",M667/J667)</f>
        <v/>
      </c>
      <c r="O667" s="41" t="str">
        <f aca="true">IF(D667="","",IF(I667&lt;&gt;"",I667,TODAY())-D667)</f>
        <v/>
      </c>
    </row>
    <row r="668" customFormat="false" ht="15" hidden="false" customHeight="false" outlineLevel="0" collapsed="false">
      <c r="A668" s="9"/>
      <c r="B668" s="9"/>
      <c r="C668" s="9"/>
      <c r="D668" s="34"/>
      <c r="E668" s="9"/>
      <c r="F668" s="35"/>
      <c r="G668" s="35"/>
      <c r="H668" s="35"/>
      <c r="I668" s="34"/>
      <c r="J668" s="35"/>
      <c r="K668" s="35"/>
      <c r="L668" s="39" t="str">
        <f aca="false">IF(A668="","",IF(I668&lt;&gt;"","Vendu","En stock"))</f>
        <v/>
      </c>
      <c r="M668" s="17" t="str">
        <f aca="false">IF(J668="","",J668-F668-G668-K668)</f>
        <v/>
      </c>
      <c r="N668" s="40" t="str">
        <f aca="false">IF(OR(J668="",J668=0),"",M668/J668)</f>
        <v/>
      </c>
      <c r="O668" s="41" t="str">
        <f aca="true">IF(D668="","",IF(I668&lt;&gt;"",I668,TODAY())-D668)</f>
        <v/>
      </c>
    </row>
    <row r="669" customFormat="false" ht="15" hidden="false" customHeight="false" outlineLevel="0" collapsed="false">
      <c r="A669" s="9"/>
      <c r="B669" s="9"/>
      <c r="C669" s="9"/>
      <c r="D669" s="34"/>
      <c r="E669" s="9"/>
      <c r="F669" s="35"/>
      <c r="G669" s="35"/>
      <c r="H669" s="35"/>
      <c r="I669" s="34"/>
      <c r="J669" s="35"/>
      <c r="K669" s="35"/>
      <c r="L669" s="39" t="str">
        <f aca="false">IF(A669="","",IF(I669&lt;&gt;"","Vendu","En stock"))</f>
        <v/>
      </c>
      <c r="M669" s="17" t="str">
        <f aca="false">IF(J669="","",J669-F669-G669-K669)</f>
        <v/>
      </c>
      <c r="N669" s="40" t="str">
        <f aca="false">IF(OR(J669="",J669=0),"",M669/J669)</f>
        <v/>
      </c>
      <c r="O669" s="41" t="str">
        <f aca="true">IF(D669="","",IF(I669&lt;&gt;"",I669,TODAY())-D669)</f>
        <v/>
      </c>
    </row>
    <row r="670" customFormat="false" ht="15" hidden="false" customHeight="false" outlineLevel="0" collapsed="false">
      <c r="A670" s="9"/>
      <c r="B670" s="9"/>
      <c r="C670" s="9"/>
      <c r="D670" s="34"/>
      <c r="E670" s="9"/>
      <c r="F670" s="35"/>
      <c r="G670" s="35"/>
      <c r="H670" s="35"/>
      <c r="I670" s="34"/>
      <c r="J670" s="35"/>
      <c r="K670" s="35"/>
      <c r="L670" s="39" t="str">
        <f aca="false">IF(A670="","",IF(I670&lt;&gt;"","Vendu","En stock"))</f>
        <v/>
      </c>
      <c r="M670" s="17" t="str">
        <f aca="false">IF(J670="","",J670-F670-G670-K670)</f>
        <v/>
      </c>
      <c r="N670" s="40" t="str">
        <f aca="false">IF(OR(J670="",J670=0),"",M670/J670)</f>
        <v/>
      </c>
      <c r="O670" s="41" t="str">
        <f aca="true">IF(D670="","",IF(I670&lt;&gt;"",I670,TODAY())-D670)</f>
        <v/>
      </c>
    </row>
    <row r="671" customFormat="false" ht="15" hidden="false" customHeight="false" outlineLevel="0" collapsed="false">
      <c r="A671" s="9"/>
      <c r="B671" s="9"/>
      <c r="C671" s="9"/>
      <c r="D671" s="34"/>
      <c r="E671" s="9"/>
      <c r="F671" s="35"/>
      <c r="G671" s="35"/>
      <c r="H671" s="35"/>
      <c r="I671" s="34"/>
      <c r="J671" s="35"/>
      <c r="K671" s="35"/>
      <c r="L671" s="39" t="str">
        <f aca="false">IF(A671="","",IF(I671&lt;&gt;"","Vendu","En stock"))</f>
        <v/>
      </c>
      <c r="M671" s="17" t="str">
        <f aca="false">IF(J671="","",J671-F671-G671-K671)</f>
        <v/>
      </c>
      <c r="N671" s="40" t="str">
        <f aca="false">IF(OR(J671="",J671=0),"",M671/J671)</f>
        <v/>
      </c>
      <c r="O671" s="41" t="str">
        <f aca="true">IF(D671="","",IF(I671&lt;&gt;"",I671,TODAY())-D671)</f>
        <v/>
      </c>
    </row>
    <row r="672" customFormat="false" ht="15" hidden="false" customHeight="false" outlineLevel="0" collapsed="false">
      <c r="A672" s="9"/>
      <c r="B672" s="9"/>
      <c r="C672" s="9"/>
      <c r="D672" s="34"/>
      <c r="E672" s="9"/>
      <c r="F672" s="35"/>
      <c r="G672" s="35"/>
      <c r="H672" s="35"/>
      <c r="I672" s="34"/>
      <c r="J672" s="35"/>
      <c r="K672" s="35"/>
      <c r="L672" s="39" t="str">
        <f aca="false">IF(A672="","",IF(I672&lt;&gt;"","Vendu","En stock"))</f>
        <v/>
      </c>
      <c r="M672" s="17" t="str">
        <f aca="false">IF(J672="","",J672-F672-G672-K672)</f>
        <v/>
      </c>
      <c r="N672" s="40" t="str">
        <f aca="false">IF(OR(J672="",J672=0),"",M672/J672)</f>
        <v/>
      </c>
      <c r="O672" s="41" t="str">
        <f aca="true">IF(D672="","",IF(I672&lt;&gt;"",I672,TODAY())-D672)</f>
        <v/>
      </c>
    </row>
    <row r="673" customFormat="false" ht="15" hidden="false" customHeight="false" outlineLevel="0" collapsed="false">
      <c r="A673" s="9"/>
      <c r="B673" s="9"/>
      <c r="C673" s="9"/>
      <c r="D673" s="34"/>
      <c r="E673" s="9"/>
      <c r="F673" s="35"/>
      <c r="G673" s="35"/>
      <c r="H673" s="35"/>
      <c r="I673" s="34"/>
      <c r="J673" s="35"/>
      <c r="K673" s="35"/>
      <c r="L673" s="39" t="str">
        <f aca="false">IF(A673="","",IF(I673&lt;&gt;"","Vendu","En stock"))</f>
        <v/>
      </c>
      <c r="M673" s="17" t="str">
        <f aca="false">IF(J673="","",J673-F673-G673-K673)</f>
        <v/>
      </c>
      <c r="N673" s="40" t="str">
        <f aca="false">IF(OR(J673="",J673=0),"",M673/J673)</f>
        <v/>
      </c>
      <c r="O673" s="41" t="str">
        <f aca="true">IF(D673="","",IF(I673&lt;&gt;"",I673,TODAY())-D673)</f>
        <v/>
      </c>
    </row>
    <row r="674" customFormat="false" ht="15" hidden="false" customHeight="false" outlineLevel="0" collapsed="false">
      <c r="A674" s="9"/>
      <c r="B674" s="9"/>
      <c r="C674" s="9"/>
      <c r="D674" s="34"/>
      <c r="E674" s="9"/>
      <c r="F674" s="35"/>
      <c r="G674" s="35"/>
      <c r="H674" s="35"/>
      <c r="I674" s="34"/>
      <c r="J674" s="35"/>
      <c r="K674" s="35"/>
      <c r="L674" s="39" t="str">
        <f aca="false">IF(A674="","",IF(I674&lt;&gt;"","Vendu","En stock"))</f>
        <v/>
      </c>
      <c r="M674" s="17" t="str">
        <f aca="false">IF(J674="","",J674-F674-G674-K674)</f>
        <v/>
      </c>
      <c r="N674" s="40" t="str">
        <f aca="false">IF(OR(J674="",J674=0),"",M674/J674)</f>
        <v/>
      </c>
      <c r="O674" s="41" t="str">
        <f aca="true">IF(D674="","",IF(I674&lt;&gt;"",I674,TODAY())-D674)</f>
        <v/>
      </c>
    </row>
    <row r="675" customFormat="false" ht="15" hidden="false" customHeight="false" outlineLevel="0" collapsed="false">
      <c r="A675" s="9"/>
      <c r="B675" s="9"/>
      <c r="C675" s="9"/>
      <c r="D675" s="34"/>
      <c r="E675" s="9"/>
      <c r="F675" s="35"/>
      <c r="G675" s="35"/>
      <c r="H675" s="35"/>
      <c r="I675" s="34"/>
      <c r="J675" s="35"/>
      <c r="K675" s="35"/>
      <c r="L675" s="39" t="str">
        <f aca="false">IF(A675="","",IF(I675&lt;&gt;"","Vendu","En stock"))</f>
        <v/>
      </c>
      <c r="M675" s="17" t="str">
        <f aca="false">IF(J675="","",J675-F675-G675-K675)</f>
        <v/>
      </c>
      <c r="N675" s="40" t="str">
        <f aca="false">IF(OR(J675="",J675=0),"",M675/J675)</f>
        <v/>
      </c>
      <c r="O675" s="41" t="str">
        <f aca="true">IF(D675="","",IF(I675&lt;&gt;"",I675,TODAY())-D675)</f>
        <v/>
      </c>
    </row>
    <row r="676" customFormat="false" ht="15" hidden="false" customHeight="false" outlineLevel="0" collapsed="false">
      <c r="A676" s="9"/>
      <c r="B676" s="9"/>
      <c r="C676" s="9"/>
      <c r="D676" s="34"/>
      <c r="E676" s="9"/>
      <c r="F676" s="35"/>
      <c r="G676" s="35"/>
      <c r="H676" s="35"/>
      <c r="I676" s="34"/>
      <c r="J676" s="35"/>
      <c r="K676" s="35"/>
      <c r="L676" s="39" t="str">
        <f aca="false">IF(A676="","",IF(I676&lt;&gt;"","Vendu","En stock"))</f>
        <v/>
      </c>
      <c r="M676" s="17" t="str">
        <f aca="false">IF(J676="","",J676-F676-G676-K676)</f>
        <v/>
      </c>
      <c r="N676" s="40" t="str">
        <f aca="false">IF(OR(J676="",J676=0),"",M676/J676)</f>
        <v/>
      </c>
      <c r="O676" s="41" t="str">
        <f aca="true">IF(D676="","",IF(I676&lt;&gt;"",I676,TODAY())-D676)</f>
        <v/>
      </c>
    </row>
    <row r="677" customFormat="false" ht="15" hidden="false" customHeight="false" outlineLevel="0" collapsed="false">
      <c r="A677" s="9"/>
      <c r="B677" s="9"/>
      <c r="C677" s="9"/>
      <c r="D677" s="34"/>
      <c r="E677" s="9"/>
      <c r="F677" s="35"/>
      <c r="G677" s="35"/>
      <c r="H677" s="35"/>
      <c r="I677" s="34"/>
      <c r="J677" s="35"/>
      <c r="K677" s="35"/>
      <c r="L677" s="39" t="str">
        <f aca="false">IF(A677="","",IF(I677&lt;&gt;"","Vendu","En stock"))</f>
        <v/>
      </c>
      <c r="M677" s="17" t="str">
        <f aca="false">IF(J677="","",J677-F677-G677-K677)</f>
        <v/>
      </c>
      <c r="N677" s="40" t="str">
        <f aca="false">IF(OR(J677="",J677=0),"",M677/J677)</f>
        <v/>
      </c>
      <c r="O677" s="41" t="str">
        <f aca="true">IF(D677="","",IF(I677&lt;&gt;"",I677,TODAY())-D677)</f>
        <v/>
      </c>
    </row>
    <row r="678" customFormat="false" ht="15" hidden="false" customHeight="false" outlineLevel="0" collapsed="false">
      <c r="A678" s="9"/>
      <c r="B678" s="9"/>
      <c r="C678" s="9"/>
      <c r="D678" s="34"/>
      <c r="E678" s="9"/>
      <c r="F678" s="35"/>
      <c r="G678" s="35"/>
      <c r="H678" s="35"/>
      <c r="I678" s="34"/>
      <c r="J678" s="35"/>
      <c r="K678" s="35"/>
      <c r="L678" s="39" t="str">
        <f aca="false">IF(A678="","",IF(I678&lt;&gt;"","Vendu","En stock"))</f>
        <v/>
      </c>
      <c r="M678" s="17" t="str">
        <f aca="false">IF(J678="","",J678-F678-G678-K678)</f>
        <v/>
      </c>
      <c r="N678" s="40" t="str">
        <f aca="false">IF(OR(J678="",J678=0),"",M678/J678)</f>
        <v/>
      </c>
      <c r="O678" s="41" t="str">
        <f aca="true">IF(D678="","",IF(I678&lt;&gt;"",I678,TODAY())-D678)</f>
        <v/>
      </c>
    </row>
    <row r="679" customFormat="false" ht="15" hidden="false" customHeight="false" outlineLevel="0" collapsed="false">
      <c r="A679" s="9"/>
      <c r="B679" s="9"/>
      <c r="C679" s="9"/>
      <c r="D679" s="34"/>
      <c r="E679" s="9"/>
      <c r="F679" s="35"/>
      <c r="G679" s="35"/>
      <c r="H679" s="35"/>
      <c r="I679" s="34"/>
      <c r="J679" s="35"/>
      <c r="K679" s="35"/>
      <c r="L679" s="39" t="str">
        <f aca="false">IF(A679="","",IF(I679&lt;&gt;"","Vendu","En stock"))</f>
        <v/>
      </c>
      <c r="M679" s="17" t="str">
        <f aca="false">IF(J679="","",J679-F679-G679-K679)</f>
        <v/>
      </c>
      <c r="N679" s="40" t="str">
        <f aca="false">IF(OR(J679="",J679=0),"",M679/J679)</f>
        <v/>
      </c>
      <c r="O679" s="41" t="str">
        <f aca="true">IF(D679="","",IF(I679&lt;&gt;"",I679,TODAY())-D679)</f>
        <v/>
      </c>
    </row>
    <row r="680" customFormat="false" ht="15" hidden="false" customHeight="false" outlineLevel="0" collapsed="false">
      <c r="A680" s="9"/>
      <c r="B680" s="9"/>
      <c r="C680" s="9"/>
      <c r="D680" s="34"/>
      <c r="E680" s="9"/>
      <c r="F680" s="35"/>
      <c r="G680" s="35"/>
      <c r="H680" s="35"/>
      <c r="I680" s="34"/>
      <c r="J680" s="35"/>
      <c r="K680" s="35"/>
      <c r="L680" s="39" t="str">
        <f aca="false">IF(A680="","",IF(I680&lt;&gt;"","Vendu","En stock"))</f>
        <v/>
      </c>
      <c r="M680" s="17" t="str">
        <f aca="false">IF(J680="","",J680-F680-G680-K680)</f>
        <v/>
      </c>
      <c r="N680" s="40" t="str">
        <f aca="false">IF(OR(J680="",J680=0),"",M680/J680)</f>
        <v/>
      </c>
      <c r="O680" s="41" t="str">
        <f aca="true">IF(D680="","",IF(I680&lt;&gt;"",I680,TODAY())-D680)</f>
        <v/>
      </c>
    </row>
    <row r="681" customFormat="false" ht="15" hidden="false" customHeight="false" outlineLevel="0" collapsed="false">
      <c r="A681" s="9"/>
      <c r="B681" s="9"/>
      <c r="C681" s="9"/>
      <c r="D681" s="34"/>
      <c r="E681" s="9"/>
      <c r="F681" s="35"/>
      <c r="G681" s="35"/>
      <c r="H681" s="35"/>
      <c r="I681" s="34"/>
      <c r="J681" s="35"/>
      <c r="K681" s="35"/>
      <c r="L681" s="39" t="str">
        <f aca="false">IF(A681="","",IF(I681&lt;&gt;"","Vendu","En stock"))</f>
        <v/>
      </c>
      <c r="M681" s="17" t="str">
        <f aca="false">IF(J681="","",J681-F681-G681-K681)</f>
        <v/>
      </c>
      <c r="N681" s="40" t="str">
        <f aca="false">IF(OR(J681="",J681=0),"",M681/J681)</f>
        <v/>
      </c>
      <c r="O681" s="41" t="str">
        <f aca="true">IF(D681="","",IF(I681&lt;&gt;"",I681,TODAY())-D681)</f>
        <v/>
      </c>
    </row>
    <row r="682" customFormat="false" ht="15" hidden="false" customHeight="false" outlineLevel="0" collapsed="false">
      <c r="A682" s="9"/>
      <c r="B682" s="9"/>
      <c r="C682" s="9"/>
      <c r="D682" s="34"/>
      <c r="E682" s="9"/>
      <c r="F682" s="35"/>
      <c r="G682" s="35"/>
      <c r="H682" s="35"/>
      <c r="I682" s="34"/>
      <c r="J682" s="35"/>
      <c r="K682" s="35"/>
      <c r="L682" s="39" t="str">
        <f aca="false">IF(A682="","",IF(I682&lt;&gt;"","Vendu","En stock"))</f>
        <v/>
      </c>
      <c r="M682" s="17" t="str">
        <f aca="false">IF(J682="","",J682-F682-G682-K682)</f>
        <v/>
      </c>
      <c r="N682" s="40" t="str">
        <f aca="false">IF(OR(J682="",J682=0),"",M682/J682)</f>
        <v/>
      </c>
      <c r="O682" s="41" t="str">
        <f aca="true">IF(D682="","",IF(I682&lt;&gt;"",I682,TODAY())-D682)</f>
        <v/>
      </c>
    </row>
    <row r="683" customFormat="false" ht="15" hidden="false" customHeight="false" outlineLevel="0" collapsed="false">
      <c r="A683" s="9"/>
      <c r="B683" s="9"/>
      <c r="C683" s="9"/>
      <c r="D683" s="34"/>
      <c r="E683" s="9"/>
      <c r="F683" s="35"/>
      <c r="G683" s="35"/>
      <c r="H683" s="35"/>
      <c r="I683" s="34"/>
      <c r="J683" s="35"/>
      <c r="K683" s="35"/>
      <c r="L683" s="39" t="str">
        <f aca="false">IF(A683="","",IF(I683&lt;&gt;"","Vendu","En stock"))</f>
        <v/>
      </c>
      <c r="M683" s="17" t="str">
        <f aca="false">IF(J683="","",J683-F683-G683-K683)</f>
        <v/>
      </c>
      <c r="N683" s="40" t="str">
        <f aca="false">IF(OR(J683="",J683=0),"",M683/J683)</f>
        <v/>
      </c>
      <c r="O683" s="41" t="str">
        <f aca="true">IF(D683="","",IF(I683&lt;&gt;"",I683,TODAY())-D683)</f>
        <v/>
      </c>
    </row>
    <row r="684" customFormat="false" ht="15" hidden="false" customHeight="false" outlineLevel="0" collapsed="false">
      <c r="A684" s="9"/>
      <c r="B684" s="9"/>
      <c r="C684" s="9"/>
      <c r="D684" s="34"/>
      <c r="E684" s="9"/>
      <c r="F684" s="35"/>
      <c r="G684" s="35"/>
      <c r="H684" s="35"/>
      <c r="I684" s="34"/>
      <c r="J684" s="35"/>
      <c r="K684" s="35"/>
      <c r="L684" s="39" t="str">
        <f aca="false">IF(A684="","",IF(I684&lt;&gt;"","Vendu","En stock"))</f>
        <v/>
      </c>
      <c r="M684" s="17" t="str">
        <f aca="false">IF(J684="","",J684-F684-G684-K684)</f>
        <v/>
      </c>
      <c r="N684" s="40" t="str">
        <f aca="false">IF(OR(J684="",J684=0),"",M684/J684)</f>
        <v/>
      </c>
      <c r="O684" s="41" t="str">
        <f aca="true">IF(D684="","",IF(I684&lt;&gt;"",I684,TODAY())-D684)</f>
        <v/>
      </c>
    </row>
    <row r="685" customFormat="false" ht="15" hidden="false" customHeight="false" outlineLevel="0" collapsed="false">
      <c r="A685" s="9"/>
      <c r="B685" s="9"/>
      <c r="C685" s="9"/>
      <c r="D685" s="34"/>
      <c r="E685" s="9"/>
      <c r="F685" s="35"/>
      <c r="G685" s="35"/>
      <c r="H685" s="35"/>
      <c r="I685" s="34"/>
      <c r="J685" s="35"/>
      <c r="K685" s="35"/>
      <c r="L685" s="39" t="str">
        <f aca="false">IF(A685="","",IF(I685&lt;&gt;"","Vendu","En stock"))</f>
        <v/>
      </c>
      <c r="M685" s="17" t="str">
        <f aca="false">IF(J685="","",J685-F685-G685-K685)</f>
        <v/>
      </c>
      <c r="N685" s="40" t="str">
        <f aca="false">IF(OR(J685="",J685=0),"",M685/J685)</f>
        <v/>
      </c>
      <c r="O685" s="41" t="str">
        <f aca="true">IF(D685="","",IF(I685&lt;&gt;"",I685,TODAY())-D685)</f>
        <v/>
      </c>
    </row>
    <row r="686" customFormat="false" ht="15" hidden="false" customHeight="false" outlineLevel="0" collapsed="false">
      <c r="A686" s="9"/>
      <c r="B686" s="9"/>
      <c r="C686" s="9"/>
      <c r="D686" s="34"/>
      <c r="E686" s="9"/>
      <c r="F686" s="35"/>
      <c r="G686" s="35"/>
      <c r="H686" s="35"/>
      <c r="I686" s="34"/>
      <c r="J686" s="35"/>
      <c r="K686" s="35"/>
      <c r="L686" s="39" t="str">
        <f aca="false">IF(A686="","",IF(I686&lt;&gt;"","Vendu","En stock"))</f>
        <v/>
      </c>
      <c r="M686" s="17" t="str">
        <f aca="false">IF(J686="","",J686-F686-G686-K686)</f>
        <v/>
      </c>
      <c r="N686" s="40" t="str">
        <f aca="false">IF(OR(J686="",J686=0),"",M686/J686)</f>
        <v/>
      </c>
      <c r="O686" s="41" t="str">
        <f aca="true">IF(D686="","",IF(I686&lt;&gt;"",I686,TODAY())-D686)</f>
        <v/>
      </c>
    </row>
    <row r="687" customFormat="false" ht="15" hidden="false" customHeight="false" outlineLevel="0" collapsed="false">
      <c r="A687" s="9"/>
      <c r="B687" s="9"/>
      <c r="C687" s="9"/>
      <c r="D687" s="34"/>
      <c r="E687" s="9"/>
      <c r="F687" s="35"/>
      <c r="G687" s="35"/>
      <c r="H687" s="35"/>
      <c r="I687" s="34"/>
      <c r="J687" s="35"/>
      <c r="K687" s="35"/>
      <c r="L687" s="39" t="str">
        <f aca="false">IF(A687="","",IF(I687&lt;&gt;"","Vendu","En stock"))</f>
        <v/>
      </c>
      <c r="M687" s="17" t="str">
        <f aca="false">IF(J687="","",J687-F687-G687-K687)</f>
        <v/>
      </c>
      <c r="N687" s="40" t="str">
        <f aca="false">IF(OR(J687="",J687=0),"",M687/J687)</f>
        <v/>
      </c>
      <c r="O687" s="41" t="str">
        <f aca="true">IF(D687="","",IF(I687&lt;&gt;"",I687,TODAY())-D687)</f>
        <v/>
      </c>
    </row>
    <row r="688" customFormat="false" ht="15" hidden="false" customHeight="false" outlineLevel="0" collapsed="false">
      <c r="A688" s="9"/>
      <c r="B688" s="9"/>
      <c r="C688" s="9"/>
      <c r="D688" s="34"/>
      <c r="E688" s="9"/>
      <c r="F688" s="35"/>
      <c r="G688" s="35"/>
      <c r="H688" s="35"/>
      <c r="I688" s="34"/>
      <c r="J688" s="35"/>
      <c r="K688" s="35"/>
      <c r="L688" s="39" t="str">
        <f aca="false">IF(A688="","",IF(I688&lt;&gt;"","Vendu","En stock"))</f>
        <v/>
      </c>
      <c r="M688" s="17" t="str">
        <f aca="false">IF(J688="","",J688-F688-G688-K688)</f>
        <v/>
      </c>
      <c r="N688" s="40" t="str">
        <f aca="false">IF(OR(J688="",J688=0),"",M688/J688)</f>
        <v/>
      </c>
      <c r="O688" s="41" t="str">
        <f aca="true">IF(D688="","",IF(I688&lt;&gt;"",I688,TODAY())-D688)</f>
        <v/>
      </c>
    </row>
    <row r="689" customFormat="false" ht="15" hidden="false" customHeight="false" outlineLevel="0" collapsed="false">
      <c r="A689" s="9"/>
      <c r="B689" s="9"/>
      <c r="C689" s="9"/>
      <c r="D689" s="34"/>
      <c r="E689" s="9"/>
      <c r="F689" s="35"/>
      <c r="G689" s="35"/>
      <c r="H689" s="35"/>
      <c r="I689" s="34"/>
      <c r="J689" s="35"/>
      <c r="K689" s="35"/>
      <c r="L689" s="39" t="str">
        <f aca="false">IF(A689="","",IF(I689&lt;&gt;"","Vendu","En stock"))</f>
        <v/>
      </c>
      <c r="M689" s="17" t="str">
        <f aca="false">IF(J689="","",J689-F689-G689-K689)</f>
        <v/>
      </c>
      <c r="N689" s="40" t="str">
        <f aca="false">IF(OR(J689="",J689=0),"",M689/J689)</f>
        <v/>
      </c>
      <c r="O689" s="41" t="str">
        <f aca="true">IF(D689="","",IF(I689&lt;&gt;"",I689,TODAY())-D689)</f>
        <v/>
      </c>
    </row>
    <row r="690" customFormat="false" ht="15" hidden="false" customHeight="false" outlineLevel="0" collapsed="false">
      <c r="A690" s="9"/>
      <c r="B690" s="9"/>
      <c r="C690" s="9"/>
      <c r="D690" s="34"/>
      <c r="E690" s="9"/>
      <c r="F690" s="35"/>
      <c r="G690" s="35"/>
      <c r="H690" s="35"/>
      <c r="I690" s="34"/>
      <c r="J690" s="35"/>
      <c r="K690" s="35"/>
      <c r="L690" s="39" t="str">
        <f aca="false">IF(A690="","",IF(I690&lt;&gt;"","Vendu","En stock"))</f>
        <v/>
      </c>
      <c r="M690" s="17" t="str">
        <f aca="false">IF(J690="","",J690-F690-G690-K690)</f>
        <v/>
      </c>
      <c r="N690" s="40" t="str">
        <f aca="false">IF(OR(J690="",J690=0),"",M690/J690)</f>
        <v/>
      </c>
      <c r="O690" s="41" t="str">
        <f aca="true">IF(D690="","",IF(I690&lt;&gt;"",I690,TODAY())-D690)</f>
        <v/>
      </c>
    </row>
    <row r="691" customFormat="false" ht="15" hidden="false" customHeight="false" outlineLevel="0" collapsed="false">
      <c r="A691" s="9"/>
      <c r="B691" s="9"/>
      <c r="C691" s="9"/>
      <c r="D691" s="34"/>
      <c r="E691" s="9"/>
      <c r="F691" s="35"/>
      <c r="G691" s="35"/>
      <c r="H691" s="35"/>
      <c r="I691" s="34"/>
      <c r="J691" s="35"/>
      <c r="K691" s="35"/>
      <c r="L691" s="39" t="str">
        <f aca="false">IF(A691="","",IF(I691&lt;&gt;"","Vendu","En stock"))</f>
        <v/>
      </c>
      <c r="M691" s="17" t="str">
        <f aca="false">IF(J691="","",J691-F691-G691-K691)</f>
        <v/>
      </c>
      <c r="N691" s="40" t="str">
        <f aca="false">IF(OR(J691="",J691=0),"",M691/J691)</f>
        <v/>
      </c>
      <c r="O691" s="41" t="str">
        <f aca="true">IF(D691="","",IF(I691&lt;&gt;"",I691,TODAY())-D691)</f>
        <v/>
      </c>
    </row>
    <row r="692" customFormat="false" ht="15" hidden="false" customHeight="false" outlineLevel="0" collapsed="false">
      <c r="A692" s="9"/>
      <c r="B692" s="9"/>
      <c r="C692" s="9"/>
      <c r="D692" s="34"/>
      <c r="E692" s="9"/>
      <c r="F692" s="35"/>
      <c r="G692" s="35"/>
      <c r="H692" s="35"/>
      <c r="I692" s="34"/>
      <c r="J692" s="35"/>
      <c r="K692" s="35"/>
      <c r="L692" s="39" t="str">
        <f aca="false">IF(A692="","",IF(I692&lt;&gt;"","Vendu","En stock"))</f>
        <v/>
      </c>
      <c r="M692" s="17" t="str">
        <f aca="false">IF(J692="","",J692-F692-G692-K692)</f>
        <v/>
      </c>
      <c r="N692" s="40" t="str">
        <f aca="false">IF(OR(J692="",J692=0),"",M692/J692)</f>
        <v/>
      </c>
      <c r="O692" s="41" t="str">
        <f aca="true">IF(D692="","",IF(I692&lt;&gt;"",I692,TODAY())-D692)</f>
        <v/>
      </c>
    </row>
    <row r="693" customFormat="false" ht="15" hidden="false" customHeight="false" outlineLevel="0" collapsed="false">
      <c r="A693" s="9"/>
      <c r="B693" s="9"/>
      <c r="C693" s="9"/>
      <c r="D693" s="34"/>
      <c r="E693" s="9"/>
      <c r="F693" s="35"/>
      <c r="G693" s="35"/>
      <c r="H693" s="35"/>
      <c r="I693" s="34"/>
      <c r="J693" s="35"/>
      <c r="K693" s="35"/>
      <c r="L693" s="39" t="str">
        <f aca="false">IF(A693="","",IF(I693&lt;&gt;"","Vendu","En stock"))</f>
        <v/>
      </c>
      <c r="M693" s="17" t="str">
        <f aca="false">IF(J693="","",J693-F693-G693-K693)</f>
        <v/>
      </c>
      <c r="N693" s="40" t="str">
        <f aca="false">IF(OR(J693="",J693=0),"",M693/J693)</f>
        <v/>
      </c>
      <c r="O693" s="41" t="str">
        <f aca="true">IF(D693="","",IF(I693&lt;&gt;"",I693,TODAY())-D693)</f>
        <v/>
      </c>
    </row>
    <row r="694" customFormat="false" ht="15" hidden="false" customHeight="false" outlineLevel="0" collapsed="false">
      <c r="A694" s="9"/>
      <c r="B694" s="9"/>
      <c r="C694" s="9"/>
      <c r="D694" s="34"/>
      <c r="E694" s="9"/>
      <c r="F694" s="35"/>
      <c r="G694" s="35"/>
      <c r="H694" s="35"/>
      <c r="I694" s="34"/>
      <c r="J694" s="35"/>
      <c r="K694" s="35"/>
      <c r="L694" s="39" t="str">
        <f aca="false">IF(A694="","",IF(I694&lt;&gt;"","Vendu","En stock"))</f>
        <v/>
      </c>
      <c r="M694" s="17" t="str">
        <f aca="false">IF(J694="","",J694-F694-G694-K694)</f>
        <v/>
      </c>
      <c r="N694" s="40" t="str">
        <f aca="false">IF(OR(J694="",J694=0),"",M694/J694)</f>
        <v/>
      </c>
      <c r="O694" s="41" t="str">
        <f aca="true">IF(D694="","",IF(I694&lt;&gt;"",I694,TODAY())-D694)</f>
        <v/>
      </c>
    </row>
    <row r="695" customFormat="false" ht="15" hidden="false" customHeight="false" outlineLevel="0" collapsed="false">
      <c r="A695" s="9"/>
      <c r="B695" s="9"/>
      <c r="C695" s="9"/>
      <c r="D695" s="34"/>
      <c r="E695" s="9"/>
      <c r="F695" s="35"/>
      <c r="G695" s="35"/>
      <c r="H695" s="35"/>
      <c r="I695" s="34"/>
      <c r="J695" s="35"/>
      <c r="K695" s="35"/>
      <c r="L695" s="39" t="str">
        <f aca="false">IF(A695="","",IF(I695&lt;&gt;"","Vendu","En stock"))</f>
        <v/>
      </c>
      <c r="M695" s="17" t="str">
        <f aca="false">IF(J695="","",J695-F695-G695-K695)</f>
        <v/>
      </c>
      <c r="N695" s="40" t="str">
        <f aca="false">IF(OR(J695="",J695=0),"",M695/J695)</f>
        <v/>
      </c>
      <c r="O695" s="41" t="str">
        <f aca="true">IF(D695="","",IF(I695&lt;&gt;"",I695,TODAY())-D695)</f>
        <v/>
      </c>
    </row>
    <row r="696" customFormat="false" ht="15" hidden="false" customHeight="false" outlineLevel="0" collapsed="false">
      <c r="A696" s="9"/>
      <c r="B696" s="9"/>
      <c r="C696" s="9"/>
      <c r="D696" s="34"/>
      <c r="E696" s="9"/>
      <c r="F696" s="35"/>
      <c r="G696" s="35"/>
      <c r="H696" s="35"/>
      <c r="I696" s="34"/>
      <c r="J696" s="35"/>
      <c r="K696" s="35"/>
      <c r="L696" s="39" t="str">
        <f aca="false">IF(A696="","",IF(I696&lt;&gt;"","Vendu","En stock"))</f>
        <v/>
      </c>
      <c r="M696" s="17" t="str">
        <f aca="false">IF(J696="","",J696-F696-G696-K696)</f>
        <v/>
      </c>
      <c r="N696" s="40" t="str">
        <f aca="false">IF(OR(J696="",J696=0),"",M696/J696)</f>
        <v/>
      </c>
      <c r="O696" s="41" t="str">
        <f aca="true">IF(D696="","",IF(I696&lt;&gt;"",I696,TODAY())-D696)</f>
        <v/>
      </c>
    </row>
    <row r="697" customFormat="false" ht="15" hidden="false" customHeight="false" outlineLevel="0" collapsed="false">
      <c r="A697" s="9"/>
      <c r="B697" s="9"/>
      <c r="C697" s="9"/>
      <c r="D697" s="34"/>
      <c r="E697" s="9"/>
      <c r="F697" s="35"/>
      <c r="G697" s="35"/>
      <c r="H697" s="35"/>
      <c r="I697" s="34"/>
      <c r="J697" s="35"/>
      <c r="K697" s="35"/>
      <c r="L697" s="39" t="str">
        <f aca="false">IF(A697="","",IF(I697&lt;&gt;"","Vendu","En stock"))</f>
        <v/>
      </c>
      <c r="M697" s="17" t="str">
        <f aca="false">IF(J697="","",J697-F697-G697-K697)</f>
        <v/>
      </c>
      <c r="N697" s="40" t="str">
        <f aca="false">IF(OR(J697="",J697=0),"",M697/J697)</f>
        <v/>
      </c>
      <c r="O697" s="41" t="str">
        <f aca="true">IF(D697="","",IF(I697&lt;&gt;"",I697,TODAY())-D697)</f>
        <v/>
      </c>
    </row>
    <row r="698" customFormat="false" ht="15" hidden="false" customHeight="false" outlineLevel="0" collapsed="false">
      <c r="A698" s="9"/>
      <c r="B698" s="9"/>
      <c r="C698" s="9"/>
      <c r="D698" s="34"/>
      <c r="E698" s="9"/>
      <c r="F698" s="35"/>
      <c r="G698" s="35"/>
      <c r="H698" s="35"/>
      <c r="I698" s="34"/>
      <c r="J698" s="35"/>
      <c r="K698" s="35"/>
      <c r="L698" s="39" t="str">
        <f aca="false">IF(A698="","",IF(I698&lt;&gt;"","Vendu","En stock"))</f>
        <v/>
      </c>
      <c r="M698" s="17" t="str">
        <f aca="false">IF(J698="","",J698-F698-G698-K698)</f>
        <v/>
      </c>
      <c r="N698" s="40" t="str">
        <f aca="false">IF(OR(J698="",J698=0),"",M698/J698)</f>
        <v/>
      </c>
      <c r="O698" s="41" t="str">
        <f aca="true">IF(D698="","",IF(I698&lt;&gt;"",I698,TODAY())-D698)</f>
        <v/>
      </c>
    </row>
    <row r="699" customFormat="false" ht="15" hidden="false" customHeight="false" outlineLevel="0" collapsed="false">
      <c r="A699" s="9"/>
      <c r="B699" s="9"/>
      <c r="C699" s="9"/>
      <c r="D699" s="34"/>
      <c r="E699" s="9"/>
      <c r="F699" s="35"/>
      <c r="G699" s="35"/>
      <c r="H699" s="35"/>
      <c r="I699" s="34"/>
      <c r="J699" s="35"/>
      <c r="K699" s="35"/>
      <c r="L699" s="39" t="str">
        <f aca="false">IF(A699="","",IF(I699&lt;&gt;"","Vendu","En stock"))</f>
        <v/>
      </c>
      <c r="M699" s="17" t="str">
        <f aca="false">IF(J699="","",J699-F699-G699-K699)</f>
        <v/>
      </c>
      <c r="N699" s="40" t="str">
        <f aca="false">IF(OR(J699="",J699=0),"",M699/J699)</f>
        <v/>
      </c>
      <c r="O699" s="41" t="str">
        <f aca="true">IF(D699="","",IF(I699&lt;&gt;"",I699,TODAY())-D699)</f>
        <v/>
      </c>
    </row>
    <row r="700" customFormat="false" ht="15" hidden="false" customHeight="false" outlineLevel="0" collapsed="false">
      <c r="A700" s="9"/>
      <c r="B700" s="9"/>
      <c r="C700" s="9"/>
      <c r="D700" s="34"/>
      <c r="E700" s="9"/>
      <c r="F700" s="35"/>
      <c r="G700" s="35"/>
      <c r="H700" s="35"/>
      <c r="I700" s="34"/>
      <c r="J700" s="35"/>
      <c r="K700" s="35"/>
      <c r="L700" s="39" t="str">
        <f aca="false">IF(A700="","",IF(I700&lt;&gt;"","Vendu","En stock"))</f>
        <v/>
      </c>
      <c r="M700" s="17" t="str">
        <f aca="false">IF(J700="","",J700-F700-G700-K700)</f>
        <v/>
      </c>
      <c r="N700" s="40" t="str">
        <f aca="false">IF(OR(J700="",J700=0),"",M700/J700)</f>
        <v/>
      </c>
      <c r="O700" s="41" t="str">
        <f aca="true">IF(D700="","",IF(I700&lt;&gt;"",I700,TODAY())-D700)</f>
        <v/>
      </c>
    </row>
    <row r="701" customFormat="false" ht="15" hidden="false" customHeight="false" outlineLevel="0" collapsed="false">
      <c r="A701" s="9"/>
      <c r="B701" s="9"/>
      <c r="C701" s="9"/>
      <c r="D701" s="34"/>
      <c r="E701" s="9"/>
      <c r="F701" s="35"/>
      <c r="G701" s="35"/>
      <c r="H701" s="35"/>
      <c r="I701" s="34"/>
      <c r="J701" s="35"/>
      <c r="K701" s="35"/>
      <c r="L701" s="39" t="str">
        <f aca="false">IF(A701="","",IF(I701&lt;&gt;"","Vendu","En stock"))</f>
        <v/>
      </c>
      <c r="M701" s="17" t="str">
        <f aca="false">IF(J701="","",J701-F701-G701-K701)</f>
        <v/>
      </c>
      <c r="N701" s="40" t="str">
        <f aca="false">IF(OR(J701="",J701=0),"",M701/J701)</f>
        <v/>
      </c>
      <c r="O701" s="41" t="str">
        <f aca="true">IF(D701="","",IF(I701&lt;&gt;"",I701,TODAY())-D701)</f>
        <v/>
      </c>
    </row>
    <row r="702" customFormat="false" ht="15" hidden="false" customHeight="false" outlineLevel="0" collapsed="false">
      <c r="A702" s="9"/>
      <c r="B702" s="9"/>
      <c r="C702" s="9"/>
      <c r="D702" s="34"/>
      <c r="E702" s="9"/>
      <c r="F702" s="35"/>
      <c r="G702" s="35"/>
      <c r="H702" s="35"/>
      <c r="I702" s="34"/>
      <c r="J702" s="35"/>
      <c r="K702" s="35"/>
      <c r="L702" s="39" t="str">
        <f aca="false">IF(A702="","",IF(I702&lt;&gt;"","Vendu","En stock"))</f>
        <v/>
      </c>
      <c r="M702" s="17" t="str">
        <f aca="false">IF(J702="","",J702-F702-G702-K702)</f>
        <v/>
      </c>
      <c r="N702" s="40" t="str">
        <f aca="false">IF(OR(J702="",J702=0),"",M702/J702)</f>
        <v/>
      </c>
      <c r="O702" s="41" t="str">
        <f aca="true">IF(D702="","",IF(I702&lt;&gt;"",I702,TODAY())-D702)</f>
        <v/>
      </c>
    </row>
    <row r="703" customFormat="false" ht="15" hidden="false" customHeight="false" outlineLevel="0" collapsed="false">
      <c r="A703" s="9"/>
      <c r="B703" s="9"/>
      <c r="C703" s="9"/>
      <c r="D703" s="34"/>
      <c r="E703" s="9"/>
      <c r="F703" s="35"/>
      <c r="G703" s="35"/>
      <c r="H703" s="35"/>
      <c r="I703" s="34"/>
      <c r="J703" s="35"/>
      <c r="K703" s="35"/>
      <c r="L703" s="39" t="str">
        <f aca="false">IF(A703="","",IF(I703&lt;&gt;"","Vendu","En stock"))</f>
        <v/>
      </c>
      <c r="M703" s="17" t="str">
        <f aca="false">IF(J703="","",J703-F703-G703-K703)</f>
        <v/>
      </c>
      <c r="N703" s="40" t="str">
        <f aca="false">IF(OR(J703="",J703=0),"",M703/J703)</f>
        <v/>
      </c>
      <c r="O703" s="41" t="str">
        <f aca="true">IF(D703="","",IF(I703&lt;&gt;"",I703,TODAY())-D703)</f>
        <v/>
      </c>
    </row>
    <row r="704" customFormat="false" ht="15" hidden="false" customHeight="false" outlineLevel="0" collapsed="false">
      <c r="A704" s="9"/>
      <c r="B704" s="9"/>
      <c r="C704" s="9"/>
      <c r="D704" s="34"/>
      <c r="E704" s="9"/>
      <c r="F704" s="35"/>
      <c r="G704" s="35"/>
      <c r="H704" s="35"/>
      <c r="I704" s="34"/>
      <c r="J704" s="35"/>
      <c r="K704" s="35"/>
      <c r="L704" s="39" t="str">
        <f aca="false">IF(A704="","",IF(I704&lt;&gt;"","Vendu","En stock"))</f>
        <v/>
      </c>
      <c r="M704" s="17" t="str">
        <f aca="false">IF(J704="","",J704-F704-G704-K704)</f>
        <v/>
      </c>
      <c r="N704" s="40" t="str">
        <f aca="false">IF(OR(J704="",J704=0),"",M704/J704)</f>
        <v/>
      </c>
      <c r="O704" s="41" t="str">
        <f aca="true">IF(D704="","",IF(I704&lt;&gt;"",I704,TODAY())-D704)</f>
        <v/>
      </c>
    </row>
    <row r="705" customFormat="false" ht="15" hidden="false" customHeight="false" outlineLevel="0" collapsed="false">
      <c r="A705" s="9"/>
      <c r="B705" s="9"/>
      <c r="C705" s="9"/>
      <c r="D705" s="34"/>
      <c r="E705" s="9"/>
      <c r="F705" s="35"/>
      <c r="G705" s="35"/>
      <c r="H705" s="35"/>
      <c r="I705" s="34"/>
      <c r="J705" s="35"/>
      <c r="K705" s="35"/>
      <c r="L705" s="39" t="str">
        <f aca="false">IF(A705="","",IF(I705&lt;&gt;"","Vendu","En stock"))</f>
        <v/>
      </c>
      <c r="M705" s="17" t="str">
        <f aca="false">IF(J705="","",J705-F705-G705-K705)</f>
        <v/>
      </c>
      <c r="N705" s="40" t="str">
        <f aca="false">IF(OR(J705="",J705=0),"",M705/J705)</f>
        <v/>
      </c>
      <c r="O705" s="41" t="str">
        <f aca="true">IF(D705="","",IF(I705&lt;&gt;"",I705,TODAY())-D705)</f>
        <v/>
      </c>
    </row>
    <row r="706" customFormat="false" ht="15" hidden="false" customHeight="false" outlineLevel="0" collapsed="false">
      <c r="A706" s="9"/>
      <c r="B706" s="9"/>
      <c r="C706" s="9"/>
      <c r="D706" s="34"/>
      <c r="E706" s="9"/>
      <c r="F706" s="35"/>
      <c r="G706" s="35"/>
      <c r="H706" s="35"/>
      <c r="I706" s="34"/>
      <c r="J706" s="35"/>
      <c r="K706" s="35"/>
      <c r="L706" s="39" t="str">
        <f aca="false">IF(A706="","",IF(I706&lt;&gt;"","Vendu","En stock"))</f>
        <v/>
      </c>
      <c r="M706" s="17" t="str">
        <f aca="false">IF(J706="","",J706-F706-G706-K706)</f>
        <v/>
      </c>
      <c r="N706" s="40" t="str">
        <f aca="false">IF(OR(J706="",J706=0),"",M706/J706)</f>
        <v/>
      </c>
      <c r="O706" s="41" t="str">
        <f aca="true">IF(D706="","",IF(I706&lt;&gt;"",I706,TODAY())-D706)</f>
        <v/>
      </c>
    </row>
    <row r="707" customFormat="false" ht="15" hidden="false" customHeight="false" outlineLevel="0" collapsed="false">
      <c r="A707" s="9"/>
      <c r="B707" s="9"/>
      <c r="C707" s="9"/>
      <c r="D707" s="34"/>
      <c r="E707" s="9"/>
      <c r="F707" s="35"/>
      <c r="G707" s="35"/>
      <c r="H707" s="35"/>
      <c r="I707" s="34"/>
      <c r="J707" s="35"/>
      <c r="K707" s="35"/>
      <c r="L707" s="39" t="str">
        <f aca="false">IF(A707="","",IF(I707&lt;&gt;"","Vendu","En stock"))</f>
        <v/>
      </c>
      <c r="M707" s="17" t="str">
        <f aca="false">IF(J707="","",J707-F707-G707-K707)</f>
        <v/>
      </c>
      <c r="N707" s="40" t="str">
        <f aca="false">IF(OR(J707="",J707=0),"",M707/J707)</f>
        <v/>
      </c>
      <c r="O707" s="41" t="str">
        <f aca="true">IF(D707="","",IF(I707&lt;&gt;"",I707,TODAY())-D707)</f>
        <v/>
      </c>
    </row>
    <row r="708" customFormat="false" ht="15" hidden="false" customHeight="false" outlineLevel="0" collapsed="false">
      <c r="A708" s="9"/>
      <c r="B708" s="9"/>
      <c r="C708" s="9"/>
      <c r="D708" s="34"/>
      <c r="E708" s="9"/>
      <c r="F708" s="35"/>
      <c r="G708" s="35"/>
      <c r="H708" s="35"/>
      <c r="I708" s="34"/>
      <c r="J708" s="35"/>
      <c r="K708" s="35"/>
      <c r="L708" s="39" t="str">
        <f aca="false">IF(A708="","",IF(I708&lt;&gt;"","Vendu","En stock"))</f>
        <v/>
      </c>
      <c r="M708" s="17" t="str">
        <f aca="false">IF(J708="","",J708-F708-G708-K708)</f>
        <v/>
      </c>
      <c r="N708" s="40" t="str">
        <f aca="false">IF(OR(J708="",J708=0),"",M708/J708)</f>
        <v/>
      </c>
      <c r="O708" s="41" t="str">
        <f aca="true">IF(D708="","",IF(I708&lt;&gt;"",I708,TODAY())-D708)</f>
        <v/>
      </c>
    </row>
    <row r="709" customFormat="false" ht="15" hidden="false" customHeight="false" outlineLevel="0" collapsed="false">
      <c r="A709" s="9"/>
      <c r="B709" s="9"/>
      <c r="C709" s="9"/>
      <c r="D709" s="34"/>
      <c r="E709" s="9"/>
      <c r="F709" s="35"/>
      <c r="G709" s="35"/>
      <c r="H709" s="35"/>
      <c r="I709" s="34"/>
      <c r="J709" s="35"/>
      <c r="K709" s="35"/>
      <c r="L709" s="39" t="str">
        <f aca="false">IF(A709="","",IF(I709&lt;&gt;"","Vendu","En stock"))</f>
        <v/>
      </c>
      <c r="M709" s="17" t="str">
        <f aca="false">IF(J709="","",J709-F709-G709-K709)</f>
        <v/>
      </c>
      <c r="N709" s="40" t="str">
        <f aca="false">IF(OR(J709="",J709=0),"",M709/J709)</f>
        <v/>
      </c>
      <c r="O709" s="41" t="str">
        <f aca="true">IF(D709="","",IF(I709&lt;&gt;"",I709,TODAY())-D709)</f>
        <v/>
      </c>
    </row>
    <row r="710" customFormat="false" ht="15" hidden="false" customHeight="false" outlineLevel="0" collapsed="false">
      <c r="A710" s="9"/>
      <c r="B710" s="9"/>
      <c r="C710" s="9"/>
      <c r="D710" s="34"/>
      <c r="E710" s="9"/>
      <c r="F710" s="35"/>
      <c r="G710" s="35"/>
      <c r="H710" s="35"/>
      <c r="I710" s="34"/>
      <c r="J710" s="35"/>
      <c r="K710" s="35"/>
      <c r="L710" s="39" t="str">
        <f aca="false">IF(A710="","",IF(I710&lt;&gt;"","Vendu","En stock"))</f>
        <v/>
      </c>
      <c r="M710" s="17" t="str">
        <f aca="false">IF(J710="","",J710-F710-G710-K710)</f>
        <v/>
      </c>
      <c r="N710" s="40" t="str">
        <f aca="false">IF(OR(J710="",J710=0),"",M710/J710)</f>
        <v/>
      </c>
      <c r="O710" s="41" t="str">
        <f aca="true">IF(D710="","",IF(I710&lt;&gt;"",I710,TODAY())-D710)</f>
        <v/>
      </c>
    </row>
    <row r="711" customFormat="false" ht="15" hidden="false" customHeight="false" outlineLevel="0" collapsed="false">
      <c r="A711" s="9"/>
      <c r="B711" s="9"/>
      <c r="C711" s="9"/>
      <c r="D711" s="34"/>
      <c r="E711" s="9"/>
      <c r="F711" s="35"/>
      <c r="G711" s="35"/>
      <c r="H711" s="35"/>
      <c r="I711" s="34"/>
      <c r="J711" s="35"/>
      <c r="K711" s="35"/>
      <c r="L711" s="39" t="str">
        <f aca="false">IF(A711="","",IF(I711&lt;&gt;"","Vendu","En stock"))</f>
        <v/>
      </c>
      <c r="M711" s="17" t="str">
        <f aca="false">IF(J711="","",J711-F711-G711-K711)</f>
        <v/>
      </c>
      <c r="N711" s="40" t="str">
        <f aca="false">IF(OR(J711="",J711=0),"",M711/J711)</f>
        <v/>
      </c>
      <c r="O711" s="41" t="str">
        <f aca="true">IF(D711="","",IF(I711&lt;&gt;"",I711,TODAY())-D711)</f>
        <v/>
      </c>
    </row>
    <row r="712" customFormat="false" ht="15" hidden="false" customHeight="false" outlineLevel="0" collapsed="false">
      <c r="A712" s="9"/>
      <c r="B712" s="9"/>
      <c r="C712" s="9"/>
      <c r="D712" s="34"/>
      <c r="E712" s="9"/>
      <c r="F712" s="35"/>
      <c r="G712" s="35"/>
      <c r="H712" s="35"/>
      <c r="I712" s="34"/>
      <c r="J712" s="35"/>
      <c r="K712" s="35"/>
      <c r="L712" s="39" t="str">
        <f aca="false">IF(A712="","",IF(I712&lt;&gt;"","Vendu","En stock"))</f>
        <v/>
      </c>
      <c r="M712" s="17" t="str">
        <f aca="false">IF(J712="","",J712-F712-G712-K712)</f>
        <v/>
      </c>
      <c r="N712" s="40" t="str">
        <f aca="false">IF(OR(J712="",J712=0),"",M712/J712)</f>
        <v/>
      </c>
      <c r="O712" s="41" t="str">
        <f aca="true">IF(D712="","",IF(I712&lt;&gt;"",I712,TODAY())-D712)</f>
        <v/>
      </c>
    </row>
    <row r="713" customFormat="false" ht="15" hidden="false" customHeight="false" outlineLevel="0" collapsed="false">
      <c r="A713" s="9"/>
      <c r="B713" s="9"/>
      <c r="C713" s="9"/>
      <c r="D713" s="34"/>
      <c r="E713" s="9"/>
      <c r="F713" s="35"/>
      <c r="G713" s="35"/>
      <c r="H713" s="35"/>
      <c r="I713" s="34"/>
      <c r="J713" s="35"/>
      <c r="K713" s="35"/>
      <c r="L713" s="39" t="str">
        <f aca="false">IF(A713="","",IF(I713&lt;&gt;"","Vendu","En stock"))</f>
        <v/>
      </c>
      <c r="M713" s="17" t="str">
        <f aca="false">IF(J713="","",J713-F713-G713-K713)</f>
        <v/>
      </c>
      <c r="N713" s="40" t="str">
        <f aca="false">IF(OR(J713="",J713=0),"",M713/J713)</f>
        <v/>
      </c>
      <c r="O713" s="41" t="str">
        <f aca="true">IF(D713="","",IF(I713&lt;&gt;"",I713,TODAY())-D713)</f>
        <v/>
      </c>
    </row>
    <row r="714" customFormat="false" ht="15" hidden="false" customHeight="false" outlineLevel="0" collapsed="false">
      <c r="A714" s="9"/>
      <c r="B714" s="9"/>
      <c r="C714" s="9"/>
      <c r="D714" s="34"/>
      <c r="E714" s="9"/>
      <c r="F714" s="35"/>
      <c r="G714" s="35"/>
      <c r="H714" s="35"/>
      <c r="I714" s="34"/>
      <c r="J714" s="35"/>
      <c r="K714" s="35"/>
      <c r="L714" s="39" t="str">
        <f aca="false">IF(A714="","",IF(I714&lt;&gt;"","Vendu","En stock"))</f>
        <v/>
      </c>
      <c r="M714" s="17" t="str">
        <f aca="false">IF(J714="","",J714-F714-G714-K714)</f>
        <v/>
      </c>
      <c r="N714" s="40" t="str">
        <f aca="false">IF(OR(J714="",J714=0),"",M714/J714)</f>
        <v/>
      </c>
      <c r="O714" s="41" t="str">
        <f aca="true">IF(D714="","",IF(I714&lt;&gt;"",I714,TODAY())-D714)</f>
        <v/>
      </c>
    </row>
    <row r="715" customFormat="false" ht="15" hidden="false" customHeight="false" outlineLevel="0" collapsed="false">
      <c r="A715" s="9"/>
      <c r="B715" s="9"/>
      <c r="C715" s="9"/>
      <c r="D715" s="34"/>
      <c r="E715" s="9"/>
      <c r="F715" s="35"/>
      <c r="G715" s="35"/>
      <c r="H715" s="35"/>
      <c r="I715" s="34"/>
      <c r="J715" s="35"/>
      <c r="K715" s="35"/>
      <c r="L715" s="39" t="str">
        <f aca="false">IF(A715="","",IF(I715&lt;&gt;"","Vendu","En stock"))</f>
        <v/>
      </c>
      <c r="M715" s="17" t="str">
        <f aca="false">IF(J715="","",J715-F715-G715-K715)</f>
        <v/>
      </c>
      <c r="N715" s="40" t="str">
        <f aca="false">IF(OR(J715="",J715=0),"",M715/J715)</f>
        <v/>
      </c>
      <c r="O715" s="41" t="str">
        <f aca="true">IF(D715="","",IF(I715&lt;&gt;"",I715,TODAY())-D715)</f>
        <v/>
      </c>
    </row>
    <row r="716" customFormat="false" ht="15" hidden="false" customHeight="false" outlineLevel="0" collapsed="false">
      <c r="A716" s="9"/>
      <c r="B716" s="9"/>
      <c r="C716" s="9"/>
      <c r="D716" s="34"/>
      <c r="E716" s="9"/>
      <c r="F716" s="35"/>
      <c r="G716" s="35"/>
      <c r="H716" s="35"/>
      <c r="I716" s="34"/>
      <c r="J716" s="35"/>
      <c r="K716" s="35"/>
      <c r="L716" s="39" t="str">
        <f aca="false">IF(A716="","",IF(I716&lt;&gt;"","Vendu","En stock"))</f>
        <v/>
      </c>
      <c r="M716" s="17" t="str">
        <f aca="false">IF(J716="","",J716-F716-G716-K716)</f>
        <v/>
      </c>
      <c r="N716" s="40" t="str">
        <f aca="false">IF(OR(J716="",J716=0),"",M716/J716)</f>
        <v/>
      </c>
      <c r="O716" s="41" t="str">
        <f aca="true">IF(D716="","",IF(I716&lt;&gt;"",I716,TODAY())-D716)</f>
        <v/>
      </c>
    </row>
    <row r="717" customFormat="false" ht="15" hidden="false" customHeight="false" outlineLevel="0" collapsed="false">
      <c r="A717" s="9"/>
      <c r="B717" s="9"/>
      <c r="C717" s="9"/>
      <c r="D717" s="34"/>
      <c r="E717" s="9"/>
      <c r="F717" s="35"/>
      <c r="G717" s="35"/>
      <c r="H717" s="35"/>
      <c r="I717" s="34"/>
      <c r="J717" s="35"/>
      <c r="K717" s="35"/>
      <c r="L717" s="39" t="str">
        <f aca="false">IF(A717="","",IF(I717&lt;&gt;"","Vendu","En stock"))</f>
        <v/>
      </c>
      <c r="M717" s="17" t="str">
        <f aca="false">IF(J717="","",J717-F717-G717-K717)</f>
        <v/>
      </c>
      <c r="N717" s="40" t="str">
        <f aca="false">IF(OR(J717="",J717=0),"",M717/J717)</f>
        <v/>
      </c>
      <c r="O717" s="41" t="str">
        <f aca="true">IF(D717="","",IF(I717&lt;&gt;"",I717,TODAY())-D717)</f>
        <v/>
      </c>
    </row>
    <row r="718" customFormat="false" ht="15" hidden="false" customHeight="false" outlineLevel="0" collapsed="false">
      <c r="A718" s="9"/>
      <c r="B718" s="9"/>
      <c r="C718" s="9"/>
      <c r="D718" s="34"/>
      <c r="E718" s="9"/>
      <c r="F718" s="35"/>
      <c r="G718" s="35"/>
      <c r="H718" s="35"/>
      <c r="I718" s="34"/>
      <c r="J718" s="35"/>
      <c r="K718" s="35"/>
      <c r="L718" s="39" t="str">
        <f aca="false">IF(A718="","",IF(I718&lt;&gt;"","Vendu","En stock"))</f>
        <v/>
      </c>
      <c r="M718" s="17" t="str">
        <f aca="false">IF(J718="","",J718-F718-G718-K718)</f>
        <v/>
      </c>
      <c r="N718" s="40" t="str">
        <f aca="false">IF(OR(J718="",J718=0),"",M718/J718)</f>
        <v/>
      </c>
      <c r="O718" s="41" t="str">
        <f aca="true">IF(D718="","",IF(I718&lt;&gt;"",I718,TODAY())-D718)</f>
        <v/>
      </c>
    </row>
    <row r="719" customFormat="false" ht="15" hidden="false" customHeight="false" outlineLevel="0" collapsed="false">
      <c r="A719" s="9"/>
      <c r="B719" s="9"/>
      <c r="C719" s="9"/>
      <c r="D719" s="34"/>
      <c r="E719" s="9"/>
      <c r="F719" s="35"/>
      <c r="G719" s="35"/>
      <c r="H719" s="35"/>
      <c r="I719" s="34"/>
      <c r="J719" s="35"/>
      <c r="K719" s="35"/>
      <c r="L719" s="39" t="str">
        <f aca="false">IF(A719="","",IF(I719&lt;&gt;"","Vendu","En stock"))</f>
        <v/>
      </c>
      <c r="M719" s="17" t="str">
        <f aca="false">IF(J719="","",J719-F719-G719-K719)</f>
        <v/>
      </c>
      <c r="N719" s="40" t="str">
        <f aca="false">IF(OR(J719="",J719=0),"",M719/J719)</f>
        <v/>
      </c>
      <c r="O719" s="41" t="str">
        <f aca="true">IF(D719="","",IF(I719&lt;&gt;"",I719,TODAY())-D719)</f>
        <v/>
      </c>
    </row>
    <row r="720" customFormat="false" ht="15" hidden="false" customHeight="false" outlineLevel="0" collapsed="false">
      <c r="A720" s="9"/>
      <c r="B720" s="9"/>
      <c r="C720" s="9"/>
      <c r="D720" s="34"/>
      <c r="E720" s="9"/>
      <c r="F720" s="35"/>
      <c r="G720" s="35"/>
      <c r="H720" s="35"/>
      <c r="I720" s="34"/>
      <c r="J720" s="35"/>
      <c r="K720" s="35"/>
      <c r="L720" s="39" t="str">
        <f aca="false">IF(A720="","",IF(I720&lt;&gt;"","Vendu","En stock"))</f>
        <v/>
      </c>
      <c r="M720" s="17" t="str">
        <f aca="false">IF(J720="","",J720-F720-G720-K720)</f>
        <v/>
      </c>
      <c r="N720" s="40" t="str">
        <f aca="false">IF(OR(J720="",J720=0),"",M720/J720)</f>
        <v/>
      </c>
      <c r="O720" s="41" t="str">
        <f aca="true">IF(D720="","",IF(I720&lt;&gt;"",I720,TODAY())-D720)</f>
        <v/>
      </c>
    </row>
    <row r="721" customFormat="false" ht="15" hidden="false" customHeight="false" outlineLevel="0" collapsed="false">
      <c r="A721" s="9"/>
      <c r="B721" s="9"/>
      <c r="C721" s="9"/>
      <c r="D721" s="34"/>
      <c r="E721" s="9"/>
      <c r="F721" s="35"/>
      <c r="G721" s="35"/>
      <c r="H721" s="35"/>
      <c r="I721" s="34"/>
      <c r="J721" s="35"/>
      <c r="K721" s="35"/>
      <c r="L721" s="39" t="str">
        <f aca="false">IF(A721="","",IF(I721&lt;&gt;"","Vendu","En stock"))</f>
        <v/>
      </c>
      <c r="M721" s="17" t="str">
        <f aca="false">IF(J721="","",J721-F721-G721-K721)</f>
        <v/>
      </c>
      <c r="N721" s="40" t="str">
        <f aca="false">IF(OR(J721="",J721=0),"",M721/J721)</f>
        <v/>
      </c>
      <c r="O721" s="41" t="str">
        <f aca="true">IF(D721="","",IF(I721&lt;&gt;"",I721,TODAY())-D721)</f>
        <v/>
      </c>
    </row>
    <row r="722" customFormat="false" ht="15" hidden="false" customHeight="false" outlineLevel="0" collapsed="false">
      <c r="A722" s="9"/>
      <c r="B722" s="9"/>
      <c r="C722" s="9"/>
      <c r="D722" s="34"/>
      <c r="E722" s="9"/>
      <c r="F722" s="35"/>
      <c r="G722" s="35"/>
      <c r="H722" s="35"/>
      <c r="I722" s="34"/>
      <c r="J722" s="35"/>
      <c r="K722" s="35"/>
      <c r="L722" s="39" t="str">
        <f aca="false">IF(A722="","",IF(I722&lt;&gt;"","Vendu","En stock"))</f>
        <v/>
      </c>
      <c r="M722" s="17" t="str">
        <f aca="false">IF(J722="","",J722-F722-G722-K722)</f>
        <v/>
      </c>
      <c r="N722" s="40" t="str">
        <f aca="false">IF(OR(J722="",J722=0),"",M722/J722)</f>
        <v/>
      </c>
      <c r="O722" s="41" t="str">
        <f aca="true">IF(D722="","",IF(I722&lt;&gt;"",I722,TODAY())-D722)</f>
        <v/>
      </c>
    </row>
    <row r="723" customFormat="false" ht="15" hidden="false" customHeight="false" outlineLevel="0" collapsed="false">
      <c r="A723" s="9"/>
      <c r="B723" s="9"/>
      <c r="C723" s="9"/>
      <c r="D723" s="34"/>
      <c r="E723" s="9"/>
      <c r="F723" s="35"/>
      <c r="G723" s="35"/>
      <c r="H723" s="35"/>
      <c r="I723" s="34"/>
      <c r="J723" s="35"/>
      <c r="K723" s="35"/>
      <c r="L723" s="39" t="str">
        <f aca="false">IF(A723="","",IF(I723&lt;&gt;"","Vendu","En stock"))</f>
        <v/>
      </c>
      <c r="M723" s="17" t="str">
        <f aca="false">IF(J723="","",J723-F723-G723-K723)</f>
        <v/>
      </c>
      <c r="N723" s="40" t="str">
        <f aca="false">IF(OR(J723="",J723=0),"",M723/J723)</f>
        <v/>
      </c>
      <c r="O723" s="41" t="str">
        <f aca="true">IF(D723="","",IF(I723&lt;&gt;"",I723,TODAY())-D723)</f>
        <v/>
      </c>
    </row>
    <row r="724" customFormat="false" ht="15" hidden="false" customHeight="false" outlineLevel="0" collapsed="false">
      <c r="A724" s="9"/>
      <c r="B724" s="9"/>
      <c r="C724" s="9"/>
      <c r="D724" s="34"/>
      <c r="E724" s="9"/>
      <c r="F724" s="35"/>
      <c r="G724" s="35"/>
      <c r="H724" s="35"/>
      <c r="I724" s="34"/>
      <c r="J724" s="35"/>
      <c r="K724" s="35"/>
      <c r="L724" s="39" t="str">
        <f aca="false">IF(A724="","",IF(I724&lt;&gt;"","Vendu","En stock"))</f>
        <v/>
      </c>
      <c r="M724" s="17" t="str">
        <f aca="false">IF(J724="","",J724-F724-G724-K724)</f>
        <v/>
      </c>
      <c r="N724" s="40" t="str">
        <f aca="false">IF(OR(J724="",J724=0),"",M724/J724)</f>
        <v/>
      </c>
      <c r="O724" s="41" t="str">
        <f aca="true">IF(D724="","",IF(I724&lt;&gt;"",I724,TODAY())-D724)</f>
        <v/>
      </c>
    </row>
    <row r="725" customFormat="false" ht="15" hidden="false" customHeight="false" outlineLevel="0" collapsed="false">
      <c r="A725" s="9"/>
      <c r="B725" s="9"/>
      <c r="C725" s="9"/>
      <c r="D725" s="34"/>
      <c r="E725" s="9"/>
      <c r="F725" s="35"/>
      <c r="G725" s="35"/>
      <c r="H725" s="35"/>
      <c r="I725" s="34"/>
      <c r="J725" s="35"/>
      <c r="K725" s="35"/>
      <c r="L725" s="39" t="str">
        <f aca="false">IF(A725="","",IF(I725&lt;&gt;"","Vendu","En stock"))</f>
        <v/>
      </c>
      <c r="M725" s="17" t="str">
        <f aca="false">IF(J725="","",J725-F725-G725-K725)</f>
        <v/>
      </c>
      <c r="N725" s="40" t="str">
        <f aca="false">IF(OR(J725="",J725=0),"",M725/J725)</f>
        <v/>
      </c>
      <c r="O725" s="41" t="str">
        <f aca="true">IF(D725="","",IF(I725&lt;&gt;"",I725,TODAY())-D725)</f>
        <v/>
      </c>
    </row>
    <row r="726" customFormat="false" ht="15" hidden="false" customHeight="false" outlineLevel="0" collapsed="false">
      <c r="A726" s="9"/>
      <c r="B726" s="9"/>
      <c r="C726" s="9"/>
      <c r="D726" s="34"/>
      <c r="E726" s="9"/>
      <c r="F726" s="35"/>
      <c r="G726" s="35"/>
      <c r="H726" s="35"/>
      <c r="I726" s="34"/>
      <c r="J726" s="35"/>
      <c r="K726" s="35"/>
      <c r="L726" s="39" t="str">
        <f aca="false">IF(A726="","",IF(I726&lt;&gt;"","Vendu","En stock"))</f>
        <v/>
      </c>
      <c r="M726" s="17" t="str">
        <f aca="false">IF(J726="","",J726-F726-G726-K726)</f>
        <v/>
      </c>
      <c r="N726" s="40" t="str">
        <f aca="false">IF(OR(J726="",J726=0),"",M726/J726)</f>
        <v/>
      </c>
      <c r="O726" s="41" t="str">
        <f aca="true">IF(D726="","",IF(I726&lt;&gt;"",I726,TODAY())-D726)</f>
        <v/>
      </c>
    </row>
    <row r="727" customFormat="false" ht="15" hidden="false" customHeight="false" outlineLevel="0" collapsed="false">
      <c r="A727" s="9"/>
      <c r="B727" s="9"/>
      <c r="C727" s="9"/>
      <c r="D727" s="34"/>
      <c r="E727" s="9"/>
      <c r="F727" s="35"/>
      <c r="G727" s="35"/>
      <c r="H727" s="35"/>
      <c r="I727" s="34"/>
      <c r="J727" s="35"/>
      <c r="K727" s="35"/>
      <c r="L727" s="39" t="str">
        <f aca="false">IF(A727="","",IF(I727&lt;&gt;"","Vendu","En stock"))</f>
        <v/>
      </c>
      <c r="M727" s="17" t="str">
        <f aca="false">IF(J727="","",J727-F727-G727-K727)</f>
        <v/>
      </c>
      <c r="N727" s="40" t="str">
        <f aca="false">IF(OR(J727="",J727=0),"",M727/J727)</f>
        <v/>
      </c>
      <c r="O727" s="41" t="str">
        <f aca="true">IF(D727="","",IF(I727&lt;&gt;"",I727,TODAY())-D727)</f>
        <v/>
      </c>
    </row>
    <row r="728" customFormat="false" ht="15" hidden="false" customHeight="false" outlineLevel="0" collapsed="false">
      <c r="A728" s="9"/>
      <c r="B728" s="9"/>
      <c r="C728" s="9"/>
      <c r="D728" s="34"/>
      <c r="E728" s="9"/>
      <c r="F728" s="35"/>
      <c r="G728" s="35"/>
      <c r="H728" s="35"/>
      <c r="I728" s="34"/>
      <c r="J728" s="35"/>
      <c r="K728" s="35"/>
      <c r="L728" s="39" t="str">
        <f aca="false">IF(A728="","",IF(I728&lt;&gt;"","Vendu","En stock"))</f>
        <v/>
      </c>
      <c r="M728" s="17" t="str">
        <f aca="false">IF(J728="","",J728-F728-G728-K728)</f>
        <v/>
      </c>
      <c r="N728" s="40" t="str">
        <f aca="false">IF(OR(J728="",J728=0),"",M728/J728)</f>
        <v/>
      </c>
      <c r="O728" s="41" t="str">
        <f aca="true">IF(D728="","",IF(I728&lt;&gt;"",I728,TODAY())-D728)</f>
        <v/>
      </c>
    </row>
    <row r="729" customFormat="false" ht="15" hidden="false" customHeight="false" outlineLevel="0" collapsed="false">
      <c r="A729" s="9"/>
      <c r="B729" s="9"/>
      <c r="C729" s="9"/>
      <c r="D729" s="34"/>
      <c r="E729" s="9"/>
      <c r="F729" s="35"/>
      <c r="G729" s="35"/>
      <c r="H729" s="35"/>
      <c r="I729" s="34"/>
      <c r="J729" s="35"/>
      <c r="K729" s="35"/>
      <c r="L729" s="39" t="str">
        <f aca="false">IF(A729="","",IF(I729&lt;&gt;"","Vendu","En stock"))</f>
        <v/>
      </c>
      <c r="M729" s="17" t="str">
        <f aca="false">IF(J729="","",J729-F729-G729-K729)</f>
        <v/>
      </c>
      <c r="N729" s="40" t="str">
        <f aca="false">IF(OR(J729="",J729=0),"",M729/J729)</f>
        <v/>
      </c>
      <c r="O729" s="41" t="str">
        <f aca="true">IF(D729="","",IF(I729&lt;&gt;"",I729,TODAY())-D729)</f>
        <v/>
      </c>
    </row>
    <row r="730" customFormat="false" ht="15" hidden="false" customHeight="false" outlineLevel="0" collapsed="false">
      <c r="A730" s="9"/>
      <c r="B730" s="9"/>
      <c r="C730" s="9"/>
      <c r="D730" s="34"/>
      <c r="E730" s="9"/>
      <c r="F730" s="35"/>
      <c r="G730" s="35"/>
      <c r="H730" s="35"/>
      <c r="I730" s="34"/>
      <c r="J730" s="35"/>
      <c r="K730" s="35"/>
      <c r="L730" s="39" t="str">
        <f aca="false">IF(A730="","",IF(I730&lt;&gt;"","Vendu","En stock"))</f>
        <v/>
      </c>
      <c r="M730" s="17" t="str">
        <f aca="false">IF(J730="","",J730-F730-G730-K730)</f>
        <v/>
      </c>
      <c r="N730" s="40" t="str">
        <f aca="false">IF(OR(J730="",J730=0),"",M730/J730)</f>
        <v/>
      </c>
      <c r="O730" s="41" t="str">
        <f aca="true">IF(D730="","",IF(I730&lt;&gt;"",I730,TODAY())-D730)</f>
        <v/>
      </c>
    </row>
    <row r="731" customFormat="false" ht="15" hidden="false" customHeight="false" outlineLevel="0" collapsed="false">
      <c r="A731" s="9"/>
      <c r="B731" s="9"/>
      <c r="C731" s="9"/>
      <c r="D731" s="34"/>
      <c r="E731" s="9"/>
      <c r="F731" s="35"/>
      <c r="G731" s="35"/>
      <c r="H731" s="35"/>
      <c r="I731" s="34"/>
      <c r="J731" s="35"/>
      <c r="K731" s="35"/>
      <c r="L731" s="39" t="str">
        <f aca="false">IF(A731="","",IF(I731&lt;&gt;"","Vendu","En stock"))</f>
        <v/>
      </c>
      <c r="M731" s="17" t="str">
        <f aca="false">IF(J731="","",J731-F731-G731-K731)</f>
        <v/>
      </c>
      <c r="N731" s="40" t="str">
        <f aca="false">IF(OR(J731="",J731=0),"",M731/J731)</f>
        <v/>
      </c>
      <c r="O731" s="41" t="str">
        <f aca="true">IF(D731="","",IF(I731&lt;&gt;"",I731,TODAY())-D731)</f>
        <v/>
      </c>
    </row>
    <row r="732" customFormat="false" ht="15" hidden="false" customHeight="false" outlineLevel="0" collapsed="false">
      <c r="A732" s="9"/>
      <c r="B732" s="9"/>
      <c r="C732" s="9"/>
      <c r="D732" s="34"/>
      <c r="E732" s="9"/>
      <c r="F732" s="35"/>
      <c r="G732" s="35"/>
      <c r="H732" s="35"/>
      <c r="I732" s="34"/>
      <c r="J732" s="35"/>
      <c r="K732" s="35"/>
      <c r="L732" s="39" t="str">
        <f aca="false">IF(A732="","",IF(I732&lt;&gt;"","Vendu","En stock"))</f>
        <v/>
      </c>
      <c r="M732" s="17" t="str">
        <f aca="false">IF(J732="","",J732-F732-G732-K732)</f>
        <v/>
      </c>
      <c r="N732" s="40" t="str">
        <f aca="false">IF(OR(J732="",J732=0),"",M732/J732)</f>
        <v/>
      </c>
      <c r="O732" s="41" t="str">
        <f aca="true">IF(D732="","",IF(I732&lt;&gt;"",I732,TODAY())-D732)</f>
        <v/>
      </c>
    </row>
    <row r="733" customFormat="false" ht="15" hidden="false" customHeight="false" outlineLevel="0" collapsed="false">
      <c r="A733" s="9"/>
      <c r="B733" s="9"/>
      <c r="C733" s="9"/>
      <c r="D733" s="34"/>
      <c r="E733" s="9"/>
      <c r="F733" s="35"/>
      <c r="G733" s="35"/>
      <c r="H733" s="35"/>
      <c r="I733" s="34"/>
      <c r="J733" s="35"/>
      <c r="K733" s="35"/>
      <c r="L733" s="39" t="str">
        <f aca="false">IF(A733="","",IF(I733&lt;&gt;"","Vendu","En stock"))</f>
        <v/>
      </c>
      <c r="M733" s="17" t="str">
        <f aca="false">IF(J733="","",J733-F733-G733-K733)</f>
        <v/>
      </c>
      <c r="N733" s="40" t="str">
        <f aca="false">IF(OR(J733="",J733=0),"",M733/J733)</f>
        <v/>
      </c>
      <c r="O733" s="41" t="str">
        <f aca="true">IF(D733="","",IF(I733&lt;&gt;"",I733,TODAY())-D733)</f>
        <v/>
      </c>
    </row>
    <row r="734" customFormat="false" ht="15" hidden="false" customHeight="false" outlineLevel="0" collapsed="false">
      <c r="A734" s="9"/>
      <c r="B734" s="9"/>
      <c r="C734" s="9"/>
      <c r="D734" s="34"/>
      <c r="E734" s="9"/>
      <c r="F734" s="35"/>
      <c r="G734" s="35"/>
      <c r="H734" s="35"/>
      <c r="I734" s="34"/>
      <c r="J734" s="35"/>
      <c r="K734" s="35"/>
      <c r="L734" s="39" t="str">
        <f aca="false">IF(A734="","",IF(I734&lt;&gt;"","Vendu","En stock"))</f>
        <v/>
      </c>
      <c r="M734" s="17" t="str">
        <f aca="false">IF(J734="","",J734-F734-G734-K734)</f>
        <v/>
      </c>
      <c r="N734" s="40" t="str">
        <f aca="false">IF(OR(J734="",J734=0),"",M734/J734)</f>
        <v/>
      </c>
      <c r="O734" s="41" t="str">
        <f aca="true">IF(D734="","",IF(I734&lt;&gt;"",I734,TODAY())-D734)</f>
        <v/>
      </c>
    </row>
    <row r="735" customFormat="false" ht="15" hidden="false" customHeight="false" outlineLevel="0" collapsed="false">
      <c r="A735" s="9"/>
      <c r="B735" s="9"/>
      <c r="C735" s="9"/>
      <c r="D735" s="34"/>
      <c r="E735" s="9"/>
      <c r="F735" s="35"/>
      <c r="G735" s="35"/>
      <c r="H735" s="35"/>
      <c r="I735" s="34"/>
      <c r="J735" s="35"/>
      <c r="K735" s="35"/>
      <c r="L735" s="39" t="str">
        <f aca="false">IF(A735="","",IF(I735&lt;&gt;"","Vendu","En stock"))</f>
        <v/>
      </c>
      <c r="M735" s="17" t="str">
        <f aca="false">IF(J735="","",J735-F735-G735-K735)</f>
        <v/>
      </c>
      <c r="N735" s="40" t="str">
        <f aca="false">IF(OR(J735="",J735=0),"",M735/J735)</f>
        <v/>
      </c>
      <c r="O735" s="41" t="str">
        <f aca="true">IF(D735="","",IF(I735&lt;&gt;"",I735,TODAY())-D735)</f>
        <v/>
      </c>
    </row>
    <row r="736" customFormat="false" ht="15" hidden="false" customHeight="false" outlineLevel="0" collapsed="false">
      <c r="A736" s="9"/>
      <c r="B736" s="9"/>
      <c r="C736" s="9"/>
      <c r="D736" s="34"/>
      <c r="E736" s="9"/>
      <c r="F736" s="35"/>
      <c r="G736" s="35"/>
      <c r="H736" s="35"/>
      <c r="I736" s="34"/>
      <c r="J736" s="35"/>
      <c r="K736" s="35"/>
      <c r="L736" s="39" t="str">
        <f aca="false">IF(A736="","",IF(I736&lt;&gt;"","Vendu","En stock"))</f>
        <v/>
      </c>
      <c r="M736" s="17" t="str">
        <f aca="false">IF(J736="","",J736-F736-G736-K736)</f>
        <v/>
      </c>
      <c r="N736" s="40" t="str">
        <f aca="false">IF(OR(J736="",J736=0),"",M736/J736)</f>
        <v/>
      </c>
      <c r="O736" s="41" t="str">
        <f aca="true">IF(D736="","",IF(I736&lt;&gt;"",I736,TODAY())-D736)</f>
        <v/>
      </c>
    </row>
    <row r="737" customFormat="false" ht="15" hidden="false" customHeight="false" outlineLevel="0" collapsed="false">
      <c r="A737" s="9"/>
      <c r="B737" s="9"/>
      <c r="C737" s="9"/>
      <c r="D737" s="34"/>
      <c r="E737" s="9"/>
      <c r="F737" s="35"/>
      <c r="G737" s="35"/>
      <c r="H737" s="35"/>
      <c r="I737" s="34"/>
      <c r="J737" s="35"/>
      <c r="K737" s="35"/>
      <c r="L737" s="39" t="str">
        <f aca="false">IF(A737="","",IF(I737&lt;&gt;"","Vendu","En stock"))</f>
        <v/>
      </c>
      <c r="M737" s="17" t="str">
        <f aca="false">IF(J737="","",J737-F737-G737-K737)</f>
        <v/>
      </c>
      <c r="N737" s="40" t="str">
        <f aca="false">IF(OR(J737="",J737=0),"",M737/J737)</f>
        <v/>
      </c>
      <c r="O737" s="41" t="str">
        <f aca="true">IF(D737="","",IF(I737&lt;&gt;"",I737,TODAY())-D737)</f>
        <v/>
      </c>
    </row>
    <row r="738" customFormat="false" ht="15" hidden="false" customHeight="false" outlineLevel="0" collapsed="false">
      <c r="A738" s="9"/>
      <c r="B738" s="9"/>
      <c r="C738" s="9"/>
      <c r="D738" s="34"/>
      <c r="E738" s="9"/>
      <c r="F738" s="35"/>
      <c r="G738" s="35"/>
      <c r="H738" s="35"/>
      <c r="I738" s="34"/>
      <c r="J738" s="35"/>
      <c r="K738" s="35"/>
      <c r="L738" s="39" t="str">
        <f aca="false">IF(A738="","",IF(I738&lt;&gt;"","Vendu","En stock"))</f>
        <v/>
      </c>
      <c r="M738" s="17" t="str">
        <f aca="false">IF(J738="","",J738-F738-G738-K738)</f>
        <v/>
      </c>
      <c r="N738" s="40" t="str">
        <f aca="false">IF(OR(J738="",J738=0),"",M738/J738)</f>
        <v/>
      </c>
      <c r="O738" s="41" t="str">
        <f aca="true">IF(D738="","",IF(I738&lt;&gt;"",I738,TODAY())-D738)</f>
        <v/>
      </c>
    </row>
    <row r="739" customFormat="false" ht="15" hidden="false" customHeight="false" outlineLevel="0" collapsed="false">
      <c r="A739" s="9"/>
      <c r="B739" s="9"/>
      <c r="C739" s="9"/>
      <c r="D739" s="34"/>
      <c r="E739" s="9"/>
      <c r="F739" s="35"/>
      <c r="G739" s="35"/>
      <c r="H739" s="35"/>
      <c r="I739" s="34"/>
      <c r="J739" s="35"/>
      <c r="K739" s="35"/>
      <c r="L739" s="39" t="str">
        <f aca="false">IF(A739="","",IF(I739&lt;&gt;"","Vendu","En stock"))</f>
        <v/>
      </c>
      <c r="M739" s="17" t="str">
        <f aca="false">IF(J739="","",J739-F739-G739-K739)</f>
        <v/>
      </c>
      <c r="N739" s="40" t="str">
        <f aca="false">IF(OR(J739="",J739=0),"",M739/J739)</f>
        <v/>
      </c>
      <c r="O739" s="41" t="str">
        <f aca="true">IF(D739="","",IF(I739&lt;&gt;"",I739,TODAY())-D739)</f>
        <v/>
      </c>
    </row>
    <row r="740" customFormat="false" ht="15" hidden="false" customHeight="false" outlineLevel="0" collapsed="false">
      <c r="A740" s="9"/>
      <c r="B740" s="9"/>
      <c r="C740" s="9"/>
      <c r="D740" s="34"/>
      <c r="E740" s="9"/>
      <c r="F740" s="35"/>
      <c r="G740" s="35"/>
      <c r="H740" s="35"/>
      <c r="I740" s="34"/>
      <c r="J740" s="35"/>
      <c r="K740" s="35"/>
      <c r="L740" s="39" t="str">
        <f aca="false">IF(A740="","",IF(I740&lt;&gt;"","Vendu","En stock"))</f>
        <v/>
      </c>
      <c r="M740" s="17" t="str">
        <f aca="false">IF(J740="","",J740-F740-G740-K740)</f>
        <v/>
      </c>
      <c r="N740" s="40" t="str">
        <f aca="false">IF(OR(J740="",J740=0),"",M740/J740)</f>
        <v/>
      </c>
      <c r="O740" s="41" t="str">
        <f aca="true">IF(D740="","",IF(I740&lt;&gt;"",I740,TODAY())-D740)</f>
        <v/>
      </c>
    </row>
    <row r="741" customFormat="false" ht="15" hidden="false" customHeight="false" outlineLevel="0" collapsed="false">
      <c r="A741" s="9"/>
      <c r="B741" s="9"/>
      <c r="C741" s="9"/>
      <c r="D741" s="34"/>
      <c r="E741" s="9"/>
      <c r="F741" s="35"/>
      <c r="G741" s="35"/>
      <c r="H741" s="35"/>
      <c r="I741" s="34"/>
      <c r="J741" s="35"/>
      <c r="K741" s="35"/>
      <c r="L741" s="39" t="str">
        <f aca="false">IF(A741="","",IF(I741&lt;&gt;"","Vendu","En stock"))</f>
        <v/>
      </c>
      <c r="M741" s="17" t="str">
        <f aca="false">IF(J741="","",J741-F741-G741-K741)</f>
        <v/>
      </c>
      <c r="N741" s="40" t="str">
        <f aca="false">IF(OR(J741="",J741=0),"",M741/J741)</f>
        <v/>
      </c>
      <c r="O741" s="41" t="str">
        <f aca="true">IF(D741="","",IF(I741&lt;&gt;"",I741,TODAY())-D741)</f>
        <v/>
      </c>
    </row>
    <row r="742" customFormat="false" ht="15" hidden="false" customHeight="false" outlineLevel="0" collapsed="false">
      <c r="A742" s="9"/>
      <c r="B742" s="9"/>
      <c r="C742" s="9"/>
      <c r="D742" s="34"/>
      <c r="E742" s="9"/>
      <c r="F742" s="35"/>
      <c r="G742" s="35"/>
      <c r="H742" s="35"/>
      <c r="I742" s="34"/>
      <c r="J742" s="35"/>
      <c r="K742" s="35"/>
      <c r="L742" s="39" t="str">
        <f aca="false">IF(A742="","",IF(I742&lt;&gt;"","Vendu","En stock"))</f>
        <v/>
      </c>
      <c r="M742" s="17" t="str">
        <f aca="false">IF(J742="","",J742-F742-G742-K742)</f>
        <v/>
      </c>
      <c r="N742" s="40" t="str">
        <f aca="false">IF(OR(J742="",J742=0),"",M742/J742)</f>
        <v/>
      </c>
      <c r="O742" s="41" t="str">
        <f aca="true">IF(D742="","",IF(I742&lt;&gt;"",I742,TODAY())-D742)</f>
        <v/>
      </c>
    </row>
    <row r="743" customFormat="false" ht="15" hidden="false" customHeight="false" outlineLevel="0" collapsed="false">
      <c r="A743" s="9"/>
      <c r="B743" s="9"/>
      <c r="C743" s="9"/>
      <c r="D743" s="34"/>
      <c r="E743" s="9"/>
      <c r="F743" s="35"/>
      <c r="G743" s="35"/>
      <c r="H743" s="35"/>
      <c r="I743" s="34"/>
      <c r="J743" s="35"/>
      <c r="K743" s="35"/>
      <c r="L743" s="39" t="str">
        <f aca="false">IF(A743="","",IF(I743&lt;&gt;"","Vendu","En stock"))</f>
        <v/>
      </c>
      <c r="M743" s="17" t="str">
        <f aca="false">IF(J743="","",J743-F743-G743-K743)</f>
        <v/>
      </c>
      <c r="N743" s="40" t="str">
        <f aca="false">IF(OR(J743="",J743=0),"",M743/J743)</f>
        <v/>
      </c>
      <c r="O743" s="41" t="str">
        <f aca="true">IF(D743="","",IF(I743&lt;&gt;"",I743,TODAY())-D743)</f>
        <v/>
      </c>
    </row>
    <row r="744" customFormat="false" ht="15" hidden="false" customHeight="false" outlineLevel="0" collapsed="false">
      <c r="A744" s="9"/>
      <c r="B744" s="9"/>
      <c r="C744" s="9"/>
      <c r="D744" s="34"/>
      <c r="E744" s="9"/>
      <c r="F744" s="35"/>
      <c r="G744" s="35"/>
      <c r="H744" s="35"/>
      <c r="I744" s="34"/>
      <c r="J744" s="35"/>
      <c r="K744" s="35"/>
      <c r="L744" s="39" t="str">
        <f aca="false">IF(A744="","",IF(I744&lt;&gt;"","Vendu","En stock"))</f>
        <v/>
      </c>
      <c r="M744" s="17" t="str">
        <f aca="false">IF(J744="","",J744-F744-G744-K744)</f>
        <v/>
      </c>
      <c r="N744" s="40" t="str">
        <f aca="false">IF(OR(J744="",J744=0),"",M744/J744)</f>
        <v/>
      </c>
      <c r="O744" s="41" t="str">
        <f aca="true">IF(D744="","",IF(I744&lt;&gt;"",I744,TODAY())-D744)</f>
        <v/>
      </c>
    </row>
    <row r="745" customFormat="false" ht="15" hidden="false" customHeight="false" outlineLevel="0" collapsed="false">
      <c r="A745" s="9"/>
      <c r="B745" s="9"/>
      <c r="C745" s="9"/>
      <c r="D745" s="34"/>
      <c r="E745" s="9"/>
      <c r="F745" s="35"/>
      <c r="G745" s="35"/>
      <c r="H745" s="35"/>
      <c r="I745" s="34"/>
      <c r="J745" s="35"/>
      <c r="K745" s="35"/>
      <c r="L745" s="39" t="str">
        <f aca="false">IF(A745="","",IF(I745&lt;&gt;"","Vendu","En stock"))</f>
        <v/>
      </c>
      <c r="M745" s="17" t="str">
        <f aca="false">IF(J745="","",J745-F745-G745-K745)</f>
        <v/>
      </c>
      <c r="N745" s="40" t="str">
        <f aca="false">IF(OR(J745="",J745=0),"",M745/J745)</f>
        <v/>
      </c>
      <c r="O745" s="41" t="str">
        <f aca="true">IF(D745="","",IF(I745&lt;&gt;"",I745,TODAY())-D745)</f>
        <v/>
      </c>
    </row>
    <row r="746" customFormat="false" ht="15" hidden="false" customHeight="false" outlineLevel="0" collapsed="false">
      <c r="A746" s="9"/>
      <c r="B746" s="9"/>
      <c r="C746" s="9"/>
      <c r="D746" s="34"/>
      <c r="E746" s="9"/>
      <c r="F746" s="35"/>
      <c r="G746" s="35"/>
      <c r="H746" s="35"/>
      <c r="I746" s="34"/>
      <c r="J746" s="35"/>
      <c r="K746" s="35"/>
      <c r="L746" s="39" t="str">
        <f aca="false">IF(A746="","",IF(I746&lt;&gt;"","Vendu","En stock"))</f>
        <v/>
      </c>
      <c r="M746" s="17" t="str">
        <f aca="false">IF(J746="","",J746-F746-G746-K746)</f>
        <v/>
      </c>
      <c r="N746" s="40" t="str">
        <f aca="false">IF(OR(J746="",J746=0),"",M746/J746)</f>
        <v/>
      </c>
      <c r="O746" s="41" t="str">
        <f aca="true">IF(D746="","",IF(I746&lt;&gt;"",I746,TODAY())-D746)</f>
        <v/>
      </c>
    </row>
    <row r="747" customFormat="false" ht="15" hidden="false" customHeight="false" outlineLevel="0" collapsed="false">
      <c r="A747" s="9"/>
      <c r="B747" s="9"/>
      <c r="C747" s="9"/>
      <c r="D747" s="34"/>
      <c r="E747" s="9"/>
      <c r="F747" s="35"/>
      <c r="G747" s="35"/>
      <c r="H747" s="35"/>
      <c r="I747" s="34"/>
      <c r="J747" s="35"/>
      <c r="K747" s="35"/>
      <c r="L747" s="39" t="str">
        <f aca="false">IF(A747="","",IF(I747&lt;&gt;"","Vendu","En stock"))</f>
        <v/>
      </c>
      <c r="M747" s="17" t="str">
        <f aca="false">IF(J747="","",J747-F747-G747-K747)</f>
        <v/>
      </c>
      <c r="N747" s="40" t="str">
        <f aca="false">IF(OR(J747="",J747=0),"",M747/J747)</f>
        <v/>
      </c>
      <c r="O747" s="41" t="str">
        <f aca="true">IF(D747="","",IF(I747&lt;&gt;"",I747,TODAY())-D747)</f>
        <v/>
      </c>
    </row>
    <row r="748" customFormat="false" ht="15" hidden="false" customHeight="false" outlineLevel="0" collapsed="false">
      <c r="A748" s="9"/>
      <c r="B748" s="9"/>
      <c r="C748" s="9"/>
      <c r="D748" s="34"/>
      <c r="E748" s="9"/>
      <c r="F748" s="35"/>
      <c r="G748" s="35"/>
      <c r="H748" s="35"/>
      <c r="I748" s="34"/>
      <c r="J748" s="35"/>
      <c r="K748" s="35"/>
      <c r="L748" s="39" t="str">
        <f aca="false">IF(A748="","",IF(I748&lt;&gt;"","Vendu","En stock"))</f>
        <v/>
      </c>
      <c r="M748" s="17" t="str">
        <f aca="false">IF(J748="","",J748-F748-G748-K748)</f>
        <v/>
      </c>
      <c r="N748" s="40" t="str">
        <f aca="false">IF(OR(J748="",J748=0),"",M748/J748)</f>
        <v/>
      </c>
      <c r="O748" s="41" t="str">
        <f aca="true">IF(D748="","",IF(I748&lt;&gt;"",I748,TODAY())-D748)</f>
        <v/>
      </c>
    </row>
    <row r="749" customFormat="false" ht="15" hidden="false" customHeight="false" outlineLevel="0" collapsed="false">
      <c r="A749" s="9"/>
      <c r="B749" s="9"/>
      <c r="C749" s="9"/>
      <c r="D749" s="34"/>
      <c r="E749" s="9"/>
      <c r="F749" s="35"/>
      <c r="G749" s="35"/>
      <c r="H749" s="35"/>
      <c r="I749" s="34"/>
      <c r="J749" s="35"/>
      <c r="K749" s="35"/>
      <c r="L749" s="39" t="str">
        <f aca="false">IF(A749="","",IF(I749&lt;&gt;"","Vendu","En stock"))</f>
        <v/>
      </c>
      <c r="M749" s="17" t="str">
        <f aca="false">IF(J749="","",J749-F749-G749-K749)</f>
        <v/>
      </c>
      <c r="N749" s="40" t="str">
        <f aca="false">IF(OR(J749="",J749=0),"",M749/J749)</f>
        <v/>
      </c>
      <c r="O749" s="41" t="str">
        <f aca="true">IF(D749="","",IF(I749&lt;&gt;"",I749,TODAY())-D749)</f>
        <v/>
      </c>
    </row>
    <row r="750" customFormat="false" ht="15" hidden="false" customHeight="false" outlineLevel="0" collapsed="false">
      <c r="A750" s="9"/>
      <c r="B750" s="9"/>
      <c r="C750" s="9"/>
      <c r="D750" s="34"/>
      <c r="E750" s="9"/>
      <c r="F750" s="35"/>
      <c r="G750" s="35"/>
      <c r="H750" s="35"/>
      <c r="I750" s="34"/>
      <c r="J750" s="35"/>
      <c r="K750" s="35"/>
      <c r="L750" s="39" t="str">
        <f aca="false">IF(A750="","",IF(I750&lt;&gt;"","Vendu","En stock"))</f>
        <v/>
      </c>
      <c r="M750" s="17" t="str">
        <f aca="false">IF(J750="","",J750-F750-G750-K750)</f>
        <v/>
      </c>
      <c r="N750" s="40" t="str">
        <f aca="false">IF(OR(J750="",J750=0),"",M750/J750)</f>
        <v/>
      </c>
      <c r="O750" s="41" t="str">
        <f aca="true">IF(D750="","",IF(I750&lt;&gt;"",I750,TODAY())-D750)</f>
        <v/>
      </c>
    </row>
    <row r="751" customFormat="false" ht="15" hidden="false" customHeight="false" outlineLevel="0" collapsed="false">
      <c r="A751" s="9"/>
      <c r="B751" s="9"/>
      <c r="C751" s="9"/>
      <c r="D751" s="34"/>
      <c r="E751" s="9"/>
      <c r="F751" s="35"/>
      <c r="G751" s="35"/>
      <c r="H751" s="35"/>
      <c r="I751" s="34"/>
      <c r="J751" s="35"/>
      <c r="K751" s="35"/>
      <c r="L751" s="39" t="str">
        <f aca="false">IF(A751="","",IF(I751&lt;&gt;"","Vendu","En stock"))</f>
        <v/>
      </c>
      <c r="M751" s="17" t="str">
        <f aca="false">IF(J751="","",J751-F751-G751-K751)</f>
        <v/>
      </c>
      <c r="N751" s="40" t="str">
        <f aca="false">IF(OR(J751="",J751=0),"",M751/J751)</f>
        <v/>
      </c>
      <c r="O751" s="41" t="str">
        <f aca="true">IF(D751="","",IF(I751&lt;&gt;"",I751,TODAY())-D751)</f>
        <v/>
      </c>
    </row>
    <row r="752" customFormat="false" ht="15" hidden="false" customHeight="false" outlineLevel="0" collapsed="false">
      <c r="A752" s="9"/>
      <c r="B752" s="9"/>
      <c r="C752" s="9"/>
      <c r="D752" s="34"/>
      <c r="E752" s="9"/>
      <c r="F752" s="35"/>
      <c r="G752" s="35"/>
      <c r="H752" s="35"/>
      <c r="I752" s="34"/>
      <c r="J752" s="35"/>
      <c r="K752" s="35"/>
      <c r="L752" s="39" t="str">
        <f aca="false">IF(A752="","",IF(I752&lt;&gt;"","Vendu","En stock"))</f>
        <v/>
      </c>
      <c r="M752" s="17" t="str">
        <f aca="false">IF(J752="","",J752-F752-G752-K752)</f>
        <v/>
      </c>
      <c r="N752" s="40" t="str">
        <f aca="false">IF(OR(J752="",J752=0),"",M752/J752)</f>
        <v/>
      </c>
      <c r="O752" s="41" t="str">
        <f aca="true">IF(D752="","",IF(I752&lt;&gt;"",I752,TODAY())-D752)</f>
        <v/>
      </c>
    </row>
    <row r="753" customFormat="false" ht="15" hidden="false" customHeight="false" outlineLevel="0" collapsed="false">
      <c r="A753" s="9"/>
      <c r="B753" s="9"/>
      <c r="C753" s="9"/>
      <c r="D753" s="34"/>
      <c r="E753" s="9"/>
      <c r="F753" s="35"/>
      <c r="G753" s="35"/>
      <c r="H753" s="35"/>
      <c r="I753" s="34"/>
      <c r="J753" s="35"/>
      <c r="K753" s="35"/>
      <c r="L753" s="39" t="str">
        <f aca="false">IF(A753="","",IF(I753&lt;&gt;"","Vendu","En stock"))</f>
        <v/>
      </c>
      <c r="M753" s="17" t="str">
        <f aca="false">IF(J753="","",J753-F753-G753-K753)</f>
        <v/>
      </c>
      <c r="N753" s="40" t="str">
        <f aca="false">IF(OR(J753="",J753=0),"",M753/J753)</f>
        <v/>
      </c>
      <c r="O753" s="41" t="str">
        <f aca="true">IF(D753="","",IF(I753&lt;&gt;"",I753,TODAY())-D753)</f>
        <v/>
      </c>
    </row>
    <row r="754" customFormat="false" ht="15" hidden="false" customHeight="false" outlineLevel="0" collapsed="false">
      <c r="A754" s="9"/>
      <c r="B754" s="9"/>
      <c r="C754" s="9"/>
      <c r="D754" s="34"/>
      <c r="E754" s="9"/>
      <c r="F754" s="35"/>
      <c r="G754" s="35"/>
      <c r="H754" s="35"/>
      <c r="I754" s="34"/>
      <c r="J754" s="35"/>
      <c r="K754" s="35"/>
      <c r="L754" s="39" t="str">
        <f aca="false">IF(A754="","",IF(I754&lt;&gt;"","Vendu","En stock"))</f>
        <v/>
      </c>
      <c r="M754" s="17" t="str">
        <f aca="false">IF(J754="","",J754-F754-G754-K754)</f>
        <v/>
      </c>
      <c r="N754" s="40" t="str">
        <f aca="false">IF(OR(J754="",J754=0),"",M754/J754)</f>
        <v/>
      </c>
      <c r="O754" s="41" t="str">
        <f aca="true">IF(D754="","",IF(I754&lt;&gt;"",I754,TODAY())-D754)</f>
        <v/>
      </c>
    </row>
    <row r="755" customFormat="false" ht="15" hidden="false" customHeight="false" outlineLevel="0" collapsed="false">
      <c r="A755" s="9"/>
      <c r="B755" s="9"/>
      <c r="C755" s="9"/>
      <c r="D755" s="34"/>
      <c r="E755" s="9"/>
      <c r="F755" s="35"/>
      <c r="G755" s="35"/>
      <c r="H755" s="35"/>
      <c r="I755" s="34"/>
      <c r="J755" s="35"/>
      <c r="K755" s="35"/>
      <c r="L755" s="39" t="str">
        <f aca="false">IF(A755="","",IF(I755&lt;&gt;"","Vendu","En stock"))</f>
        <v/>
      </c>
      <c r="M755" s="17" t="str">
        <f aca="false">IF(J755="","",J755-F755-G755-K755)</f>
        <v/>
      </c>
      <c r="N755" s="40" t="str">
        <f aca="false">IF(OR(J755="",J755=0),"",M755/J755)</f>
        <v/>
      </c>
      <c r="O755" s="41" t="str">
        <f aca="true">IF(D755="","",IF(I755&lt;&gt;"",I755,TODAY())-D755)</f>
        <v/>
      </c>
    </row>
    <row r="756" customFormat="false" ht="15" hidden="false" customHeight="false" outlineLevel="0" collapsed="false">
      <c r="A756" s="9"/>
      <c r="B756" s="9"/>
      <c r="C756" s="9"/>
      <c r="D756" s="34"/>
      <c r="E756" s="9"/>
      <c r="F756" s="35"/>
      <c r="G756" s="35"/>
      <c r="H756" s="35"/>
      <c r="I756" s="34"/>
      <c r="J756" s="35"/>
      <c r="K756" s="35"/>
      <c r="L756" s="39" t="str">
        <f aca="false">IF(A756="","",IF(I756&lt;&gt;"","Vendu","En stock"))</f>
        <v/>
      </c>
      <c r="M756" s="17" t="str">
        <f aca="false">IF(J756="","",J756-F756-G756-K756)</f>
        <v/>
      </c>
      <c r="N756" s="40" t="str">
        <f aca="false">IF(OR(J756="",J756=0),"",M756/J756)</f>
        <v/>
      </c>
      <c r="O756" s="41" t="str">
        <f aca="true">IF(D756="","",IF(I756&lt;&gt;"",I756,TODAY())-D756)</f>
        <v/>
      </c>
    </row>
    <row r="757" customFormat="false" ht="15" hidden="false" customHeight="false" outlineLevel="0" collapsed="false">
      <c r="A757" s="9"/>
      <c r="B757" s="9"/>
      <c r="C757" s="9"/>
      <c r="D757" s="34"/>
      <c r="E757" s="9"/>
      <c r="F757" s="35"/>
      <c r="G757" s="35"/>
      <c r="H757" s="35"/>
      <c r="I757" s="34"/>
      <c r="J757" s="35"/>
      <c r="K757" s="35"/>
      <c r="L757" s="39" t="str">
        <f aca="false">IF(A757="","",IF(I757&lt;&gt;"","Vendu","En stock"))</f>
        <v/>
      </c>
      <c r="M757" s="17" t="str">
        <f aca="false">IF(J757="","",J757-F757-G757-K757)</f>
        <v/>
      </c>
      <c r="N757" s="40" t="str">
        <f aca="false">IF(OR(J757="",J757=0),"",M757/J757)</f>
        <v/>
      </c>
      <c r="O757" s="41" t="str">
        <f aca="true">IF(D757="","",IF(I757&lt;&gt;"",I757,TODAY())-D757)</f>
        <v/>
      </c>
    </row>
    <row r="758" customFormat="false" ht="15" hidden="false" customHeight="false" outlineLevel="0" collapsed="false">
      <c r="A758" s="9"/>
      <c r="B758" s="9"/>
      <c r="C758" s="9"/>
      <c r="D758" s="34"/>
      <c r="E758" s="9"/>
      <c r="F758" s="35"/>
      <c r="G758" s="35"/>
      <c r="H758" s="35"/>
      <c r="I758" s="34"/>
      <c r="J758" s="35"/>
      <c r="K758" s="35"/>
      <c r="L758" s="39" t="str">
        <f aca="false">IF(A758="","",IF(I758&lt;&gt;"","Vendu","En stock"))</f>
        <v/>
      </c>
      <c r="M758" s="17" t="str">
        <f aca="false">IF(J758="","",J758-F758-G758-K758)</f>
        <v/>
      </c>
      <c r="N758" s="40" t="str">
        <f aca="false">IF(OR(J758="",J758=0),"",M758/J758)</f>
        <v/>
      </c>
      <c r="O758" s="41" t="str">
        <f aca="true">IF(D758="","",IF(I758&lt;&gt;"",I758,TODAY())-D758)</f>
        <v/>
      </c>
    </row>
    <row r="759" customFormat="false" ht="15" hidden="false" customHeight="false" outlineLevel="0" collapsed="false">
      <c r="A759" s="9"/>
      <c r="B759" s="9"/>
      <c r="C759" s="9"/>
      <c r="D759" s="34"/>
      <c r="E759" s="9"/>
      <c r="F759" s="35"/>
      <c r="G759" s="35"/>
      <c r="H759" s="35"/>
      <c r="I759" s="34"/>
      <c r="J759" s="35"/>
      <c r="K759" s="35"/>
      <c r="L759" s="39" t="str">
        <f aca="false">IF(A759="","",IF(I759&lt;&gt;"","Vendu","En stock"))</f>
        <v/>
      </c>
      <c r="M759" s="17" t="str">
        <f aca="false">IF(J759="","",J759-F759-G759-K759)</f>
        <v/>
      </c>
      <c r="N759" s="40" t="str">
        <f aca="false">IF(OR(J759="",J759=0),"",M759/J759)</f>
        <v/>
      </c>
      <c r="O759" s="41" t="str">
        <f aca="true">IF(D759="","",IF(I759&lt;&gt;"",I759,TODAY())-D759)</f>
        <v/>
      </c>
    </row>
    <row r="760" customFormat="false" ht="15" hidden="false" customHeight="false" outlineLevel="0" collapsed="false">
      <c r="A760" s="9"/>
      <c r="B760" s="9"/>
      <c r="C760" s="9"/>
      <c r="D760" s="34"/>
      <c r="E760" s="9"/>
      <c r="F760" s="35"/>
      <c r="G760" s="35"/>
      <c r="H760" s="35"/>
      <c r="I760" s="34"/>
      <c r="J760" s="35"/>
      <c r="K760" s="35"/>
      <c r="L760" s="39" t="str">
        <f aca="false">IF(A760="","",IF(I760&lt;&gt;"","Vendu","En stock"))</f>
        <v/>
      </c>
      <c r="M760" s="17" t="str">
        <f aca="false">IF(J760="","",J760-F760-G760-K760)</f>
        <v/>
      </c>
      <c r="N760" s="40" t="str">
        <f aca="false">IF(OR(J760="",J760=0),"",M760/J760)</f>
        <v/>
      </c>
      <c r="O760" s="41" t="str">
        <f aca="true">IF(D760="","",IF(I760&lt;&gt;"",I760,TODAY())-D760)</f>
        <v/>
      </c>
    </row>
    <row r="761" customFormat="false" ht="15" hidden="false" customHeight="false" outlineLevel="0" collapsed="false">
      <c r="A761" s="9"/>
      <c r="B761" s="9"/>
      <c r="C761" s="9"/>
      <c r="D761" s="34"/>
      <c r="E761" s="9"/>
      <c r="F761" s="35"/>
      <c r="G761" s="35"/>
      <c r="H761" s="35"/>
      <c r="I761" s="34"/>
      <c r="J761" s="35"/>
      <c r="K761" s="35"/>
      <c r="L761" s="39" t="str">
        <f aca="false">IF(A761="","",IF(I761&lt;&gt;"","Vendu","En stock"))</f>
        <v/>
      </c>
      <c r="M761" s="17" t="str">
        <f aca="false">IF(J761="","",J761-F761-G761-K761)</f>
        <v/>
      </c>
      <c r="N761" s="40" t="str">
        <f aca="false">IF(OR(J761="",J761=0),"",M761/J761)</f>
        <v/>
      </c>
      <c r="O761" s="41" t="str">
        <f aca="true">IF(D761="","",IF(I761&lt;&gt;"",I761,TODAY())-D761)</f>
        <v/>
      </c>
    </row>
    <row r="762" customFormat="false" ht="15" hidden="false" customHeight="false" outlineLevel="0" collapsed="false">
      <c r="A762" s="9"/>
      <c r="B762" s="9"/>
      <c r="C762" s="9"/>
      <c r="D762" s="34"/>
      <c r="E762" s="9"/>
      <c r="F762" s="35"/>
      <c r="G762" s="35"/>
      <c r="H762" s="35"/>
      <c r="I762" s="34"/>
      <c r="J762" s="35"/>
      <c r="K762" s="35"/>
      <c r="L762" s="39" t="str">
        <f aca="false">IF(A762="","",IF(I762&lt;&gt;"","Vendu","En stock"))</f>
        <v/>
      </c>
      <c r="M762" s="17" t="str">
        <f aca="false">IF(J762="","",J762-F762-G762-K762)</f>
        <v/>
      </c>
      <c r="N762" s="40" t="str">
        <f aca="false">IF(OR(J762="",J762=0),"",M762/J762)</f>
        <v/>
      </c>
      <c r="O762" s="41" t="str">
        <f aca="true">IF(D762="","",IF(I762&lt;&gt;"",I762,TODAY())-D762)</f>
        <v/>
      </c>
    </row>
    <row r="763" customFormat="false" ht="15" hidden="false" customHeight="false" outlineLevel="0" collapsed="false">
      <c r="A763" s="9"/>
      <c r="B763" s="9"/>
      <c r="C763" s="9"/>
      <c r="D763" s="34"/>
      <c r="E763" s="9"/>
      <c r="F763" s="35"/>
      <c r="G763" s="35"/>
      <c r="H763" s="35"/>
      <c r="I763" s="34"/>
      <c r="J763" s="35"/>
      <c r="K763" s="35"/>
      <c r="L763" s="39" t="str">
        <f aca="false">IF(A763="","",IF(I763&lt;&gt;"","Vendu","En stock"))</f>
        <v/>
      </c>
      <c r="M763" s="17" t="str">
        <f aca="false">IF(J763="","",J763-F763-G763-K763)</f>
        <v/>
      </c>
      <c r="N763" s="40" t="str">
        <f aca="false">IF(OR(J763="",J763=0),"",M763/J763)</f>
        <v/>
      </c>
      <c r="O763" s="41" t="str">
        <f aca="true">IF(D763="","",IF(I763&lt;&gt;"",I763,TODAY())-D763)</f>
        <v/>
      </c>
    </row>
    <row r="764" customFormat="false" ht="15" hidden="false" customHeight="false" outlineLevel="0" collapsed="false">
      <c r="A764" s="9"/>
      <c r="B764" s="9"/>
      <c r="C764" s="9"/>
      <c r="D764" s="34"/>
      <c r="E764" s="9"/>
      <c r="F764" s="35"/>
      <c r="G764" s="35"/>
      <c r="H764" s="35"/>
      <c r="I764" s="34"/>
      <c r="J764" s="35"/>
      <c r="K764" s="35"/>
      <c r="L764" s="39" t="str">
        <f aca="false">IF(A764="","",IF(I764&lt;&gt;"","Vendu","En stock"))</f>
        <v/>
      </c>
      <c r="M764" s="17" t="str">
        <f aca="false">IF(J764="","",J764-F764-G764-K764)</f>
        <v/>
      </c>
      <c r="N764" s="40" t="str">
        <f aca="false">IF(OR(J764="",J764=0),"",M764/J764)</f>
        <v/>
      </c>
      <c r="O764" s="41" t="str">
        <f aca="true">IF(D764="","",IF(I764&lt;&gt;"",I764,TODAY())-D764)</f>
        <v/>
      </c>
    </row>
    <row r="765" customFormat="false" ht="15" hidden="false" customHeight="false" outlineLevel="0" collapsed="false">
      <c r="A765" s="9"/>
      <c r="B765" s="9"/>
      <c r="C765" s="9"/>
      <c r="D765" s="34"/>
      <c r="E765" s="9"/>
      <c r="F765" s="35"/>
      <c r="G765" s="35"/>
      <c r="H765" s="35"/>
      <c r="I765" s="34"/>
      <c r="J765" s="35"/>
      <c r="K765" s="35"/>
      <c r="L765" s="39" t="str">
        <f aca="false">IF(A765="","",IF(I765&lt;&gt;"","Vendu","En stock"))</f>
        <v/>
      </c>
      <c r="M765" s="17" t="str">
        <f aca="false">IF(J765="","",J765-F765-G765-K765)</f>
        <v/>
      </c>
      <c r="N765" s="40" t="str">
        <f aca="false">IF(OR(J765="",J765=0),"",M765/J765)</f>
        <v/>
      </c>
      <c r="O765" s="41" t="str">
        <f aca="true">IF(D765="","",IF(I765&lt;&gt;"",I765,TODAY())-D765)</f>
        <v/>
      </c>
    </row>
    <row r="766" customFormat="false" ht="15" hidden="false" customHeight="false" outlineLevel="0" collapsed="false">
      <c r="A766" s="9"/>
      <c r="B766" s="9"/>
      <c r="C766" s="9"/>
      <c r="D766" s="34"/>
      <c r="E766" s="9"/>
      <c r="F766" s="35"/>
      <c r="G766" s="35"/>
      <c r="H766" s="35"/>
      <c r="I766" s="34"/>
      <c r="J766" s="35"/>
      <c r="K766" s="35"/>
      <c r="L766" s="39" t="str">
        <f aca="false">IF(A766="","",IF(I766&lt;&gt;"","Vendu","En stock"))</f>
        <v/>
      </c>
      <c r="M766" s="17" t="str">
        <f aca="false">IF(J766="","",J766-F766-G766-K766)</f>
        <v/>
      </c>
      <c r="N766" s="40" t="str">
        <f aca="false">IF(OR(J766="",J766=0),"",M766/J766)</f>
        <v/>
      </c>
      <c r="O766" s="41" t="str">
        <f aca="true">IF(D766="","",IF(I766&lt;&gt;"",I766,TODAY())-D766)</f>
        <v/>
      </c>
    </row>
    <row r="767" customFormat="false" ht="15" hidden="false" customHeight="false" outlineLevel="0" collapsed="false">
      <c r="A767" s="9"/>
      <c r="B767" s="9"/>
      <c r="C767" s="9"/>
      <c r="D767" s="34"/>
      <c r="E767" s="9"/>
      <c r="F767" s="35"/>
      <c r="G767" s="35"/>
      <c r="H767" s="35"/>
      <c r="I767" s="34"/>
      <c r="J767" s="35"/>
      <c r="K767" s="35"/>
      <c r="L767" s="39" t="str">
        <f aca="false">IF(A767="","",IF(I767&lt;&gt;"","Vendu","En stock"))</f>
        <v/>
      </c>
      <c r="M767" s="17" t="str">
        <f aca="false">IF(J767="","",J767-F767-G767-K767)</f>
        <v/>
      </c>
      <c r="N767" s="40" t="str">
        <f aca="false">IF(OR(J767="",J767=0),"",M767/J767)</f>
        <v/>
      </c>
      <c r="O767" s="41" t="str">
        <f aca="true">IF(D767="","",IF(I767&lt;&gt;"",I767,TODAY())-D767)</f>
        <v/>
      </c>
    </row>
    <row r="768" customFormat="false" ht="15" hidden="false" customHeight="false" outlineLevel="0" collapsed="false">
      <c r="A768" s="9"/>
      <c r="B768" s="9"/>
      <c r="C768" s="9"/>
      <c r="D768" s="34"/>
      <c r="E768" s="9"/>
      <c r="F768" s="35"/>
      <c r="G768" s="35"/>
      <c r="H768" s="35"/>
      <c r="I768" s="34"/>
      <c r="J768" s="35"/>
      <c r="K768" s="35"/>
      <c r="L768" s="39" t="str">
        <f aca="false">IF(A768="","",IF(I768&lt;&gt;"","Vendu","En stock"))</f>
        <v/>
      </c>
      <c r="M768" s="17" t="str">
        <f aca="false">IF(J768="","",J768-F768-G768-K768)</f>
        <v/>
      </c>
      <c r="N768" s="40" t="str">
        <f aca="false">IF(OR(J768="",J768=0),"",M768/J768)</f>
        <v/>
      </c>
      <c r="O768" s="41" t="str">
        <f aca="true">IF(D768="","",IF(I768&lt;&gt;"",I768,TODAY())-D768)</f>
        <v/>
      </c>
    </row>
    <row r="769" customFormat="false" ht="15" hidden="false" customHeight="false" outlineLevel="0" collapsed="false">
      <c r="A769" s="9"/>
      <c r="B769" s="9"/>
      <c r="C769" s="9"/>
      <c r="D769" s="34"/>
      <c r="E769" s="9"/>
      <c r="F769" s="35"/>
      <c r="G769" s="35"/>
      <c r="H769" s="35"/>
      <c r="I769" s="34"/>
      <c r="J769" s="35"/>
      <c r="K769" s="35"/>
      <c r="L769" s="39" t="str">
        <f aca="false">IF(A769="","",IF(I769&lt;&gt;"","Vendu","En stock"))</f>
        <v/>
      </c>
      <c r="M769" s="17" t="str">
        <f aca="false">IF(J769="","",J769-F769-G769-K769)</f>
        <v/>
      </c>
      <c r="N769" s="40" t="str">
        <f aca="false">IF(OR(J769="",J769=0),"",M769/J769)</f>
        <v/>
      </c>
      <c r="O769" s="41" t="str">
        <f aca="true">IF(D769="","",IF(I769&lt;&gt;"",I769,TODAY())-D769)</f>
        <v/>
      </c>
    </row>
    <row r="770" customFormat="false" ht="15" hidden="false" customHeight="false" outlineLevel="0" collapsed="false">
      <c r="A770" s="9"/>
      <c r="B770" s="9"/>
      <c r="C770" s="9"/>
      <c r="D770" s="34"/>
      <c r="E770" s="9"/>
      <c r="F770" s="35"/>
      <c r="G770" s="35"/>
      <c r="H770" s="35"/>
      <c r="I770" s="34"/>
      <c r="J770" s="35"/>
      <c r="K770" s="35"/>
      <c r="L770" s="39" t="str">
        <f aca="false">IF(A770="","",IF(I770&lt;&gt;"","Vendu","En stock"))</f>
        <v/>
      </c>
      <c r="M770" s="17" t="str">
        <f aca="false">IF(J770="","",J770-F770-G770-K770)</f>
        <v/>
      </c>
      <c r="N770" s="40" t="str">
        <f aca="false">IF(OR(J770="",J770=0),"",M770/J770)</f>
        <v/>
      </c>
      <c r="O770" s="41" t="str">
        <f aca="true">IF(D770="","",IF(I770&lt;&gt;"",I770,TODAY())-D770)</f>
        <v/>
      </c>
    </row>
    <row r="771" customFormat="false" ht="15" hidden="false" customHeight="false" outlineLevel="0" collapsed="false">
      <c r="A771" s="9"/>
      <c r="B771" s="9"/>
      <c r="C771" s="9"/>
      <c r="D771" s="34"/>
      <c r="E771" s="9"/>
      <c r="F771" s="35"/>
      <c r="G771" s="35"/>
      <c r="H771" s="35"/>
      <c r="I771" s="34"/>
      <c r="J771" s="35"/>
      <c r="K771" s="35"/>
      <c r="L771" s="39" t="str">
        <f aca="false">IF(A771="","",IF(I771&lt;&gt;"","Vendu","En stock"))</f>
        <v/>
      </c>
      <c r="M771" s="17" t="str">
        <f aca="false">IF(J771="","",J771-F771-G771-K771)</f>
        <v/>
      </c>
      <c r="N771" s="40" t="str">
        <f aca="false">IF(OR(J771="",J771=0),"",M771/J771)</f>
        <v/>
      </c>
      <c r="O771" s="41" t="str">
        <f aca="true">IF(D771="","",IF(I771&lt;&gt;"",I771,TODAY())-D771)</f>
        <v/>
      </c>
    </row>
    <row r="772" customFormat="false" ht="15" hidden="false" customHeight="false" outlineLevel="0" collapsed="false">
      <c r="A772" s="9"/>
      <c r="B772" s="9"/>
      <c r="C772" s="9"/>
      <c r="D772" s="34"/>
      <c r="E772" s="9"/>
      <c r="F772" s="35"/>
      <c r="G772" s="35"/>
      <c r="H772" s="35"/>
      <c r="I772" s="34"/>
      <c r="J772" s="35"/>
      <c r="K772" s="35"/>
      <c r="L772" s="39" t="str">
        <f aca="false">IF(A772="","",IF(I772&lt;&gt;"","Vendu","En stock"))</f>
        <v/>
      </c>
      <c r="M772" s="17" t="str">
        <f aca="false">IF(J772="","",J772-F772-G772-K772)</f>
        <v/>
      </c>
      <c r="N772" s="40" t="str">
        <f aca="false">IF(OR(J772="",J772=0),"",M772/J772)</f>
        <v/>
      </c>
      <c r="O772" s="41" t="str">
        <f aca="true">IF(D772="","",IF(I772&lt;&gt;"",I772,TODAY())-D772)</f>
        <v/>
      </c>
    </row>
    <row r="773" customFormat="false" ht="15" hidden="false" customHeight="false" outlineLevel="0" collapsed="false">
      <c r="A773" s="9"/>
      <c r="B773" s="9"/>
      <c r="C773" s="9"/>
      <c r="D773" s="34"/>
      <c r="E773" s="9"/>
      <c r="F773" s="35"/>
      <c r="G773" s="35"/>
      <c r="H773" s="35"/>
      <c r="I773" s="34"/>
      <c r="J773" s="35"/>
      <c r="K773" s="35"/>
      <c r="L773" s="39" t="str">
        <f aca="false">IF(A773="","",IF(I773&lt;&gt;"","Vendu","En stock"))</f>
        <v/>
      </c>
      <c r="M773" s="17" t="str">
        <f aca="false">IF(J773="","",J773-F773-G773-K773)</f>
        <v/>
      </c>
      <c r="N773" s="40" t="str">
        <f aca="false">IF(OR(J773="",J773=0),"",M773/J773)</f>
        <v/>
      </c>
      <c r="O773" s="41" t="str">
        <f aca="true">IF(D773="","",IF(I773&lt;&gt;"",I773,TODAY())-D773)</f>
        <v/>
      </c>
    </row>
    <row r="774" customFormat="false" ht="15" hidden="false" customHeight="false" outlineLevel="0" collapsed="false">
      <c r="A774" s="9"/>
      <c r="B774" s="9"/>
      <c r="C774" s="9"/>
      <c r="D774" s="34"/>
      <c r="E774" s="9"/>
      <c r="F774" s="35"/>
      <c r="G774" s="35"/>
      <c r="H774" s="35"/>
      <c r="I774" s="34"/>
      <c r="J774" s="35"/>
      <c r="K774" s="35"/>
      <c r="L774" s="39" t="str">
        <f aca="false">IF(A774="","",IF(I774&lt;&gt;"","Vendu","En stock"))</f>
        <v/>
      </c>
      <c r="M774" s="17" t="str">
        <f aca="false">IF(J774="","",J774-F774-G774-K774)</f>
        <v/>
      </c>
      <c r="N774" s="40" t="str">
        <f aca="false">IF(OR(J774="",J774=0),"",M774/J774)</f>
        <v/>
      </c>
      <c r="O774" s="41" t="str">
        <f aca="true">IF(D774="","",IF(I774&lt;&gt;"",I774,TODAY())-D774)</f>
        <v/>
      </c>
    </row>
    <row r="775" customFormat="false" ht="15" hidden="false" customHeight="false" outlineLevel="0" collapsed="false">
      <c r="A775" s="9"/>
      <c r="B775" s="9"/>
      <c r="C775" s="9"/>
      <c r="D775" s="34"/>
      <c r="E775" s="9"/>
      <c r="F775" s="35"/>
      <c r="G775" s="35"/>
      <c r="H775" s="35"/>
      <c r="I775" s="34"/>
      <c r="J775" s="35"/>
      <c r="K775" s="35"/>
      <c r="L775" s="39" t="str">
        <f aca="false">IF(A775="","",IF(I775&lt;&gt;"","Vendu","En stock"))</f>
        <v/>
      </c>
      <c r="M775" s="17" t="str">
        <f aca="false">IF(J775="","",J775-F775-G775-K775)</f>
        <v/>
      </c>
      <c r="N775" s="40" t="str">
        <f aca="false">IF(OR(J775="",J775=0),"",M775/J775)</f>
        <v/>
      </c>
      <c r="O775" s="41" t="str">
        <f aca="true">IF(D775="","",IF(I775&lt;&gt;"",I775,TODAY())-D775)</f>
        <v/>
      </c>
    </row>
    <row r="776" customFormat="false" ht="15" hidden="false" customHeight="false" outlineLevel="0" collapsed="false">
      <c r="A776" s="9"/>
      <c r="B776" s="9"/>
      <c r="C776" s="9"/>
      <c r="D776" s="34"/>
      <c r="E776" s="9"/>
      <c r="F776" s="35"/>
      <c r="G776" s="35"/>
      <c r="H776" s="35"/>
      <c r="I776" s="34"/>
      <c r="J776" s="35"/>
      <c r="K776" s="35"/>
      <c r="L776" s="39" t="str">
        <f aca="false">IF(A776="","",IF(I776&lt;&gt;"","Vendu","En stock"))</f>
        <v/>
      </c>
      <c r="M776" s="17" t="str">
        <f aca="false">IF(J776="","",J776-F776-G776-K776)</f>
        <v/>
      </c>
      <c r="N776" s="40" t="str">
        <f aca="false">IF(OR(J776="",J776=0),"",M776/J776)</f>
        <v/>
      </c>
      <c r="O776" s="41" t="str">
        <f aca="true">IF(D776="","",IF(I776&lt;&gt;"",I776,TODAY())-D776)</f>
        <v/>
      </c>
    </row>
    <row r="777" customFormat="false" ht="15" hidden="false" customHeight="false" outlineLevel="0" collapsed="false">
      <c r="A777" s="9"/>
      <c r="B777" s="9"/>
      <c r="C777" s="9"/>
      <c r="D777" s="34"/>
      <c r="E777" s="9"/>
      <c r="F777" s="35"/>
      <c r="G777" s="35"/>
      <c r="H777" s="35"/>
      <c r="I777" s="34"/>
      <c r="J777" s="35"/>
      <c r="K777" s="35"/>
      <c r="L777" s="39" t="str">
        <f aca="false">IF(A777="","",IF(I777&lt;&gt;"","Vendu","En stock"))</f>
        <v/>
      </c>
      <c r="M777" s="17" t="str">
        <f aca="false">IF(J777="","",J777-F777-G777-K777)</f>
        <v/>
      </c>
      <c r="N777" s="40" t="str">
        <f aca="false">IF(OR(J777="",J777=0),"",M777/J777)</f>
        <v/>
      </c>
      <c r="O777" s="41" t="str">
        <f aca="true">IF(D777="","",IF(I777&lt;&gt;"",I777,TODAY())-D777)</f>
        <v/>
      </c>
    </row>
    <row r="778" customFormat="false" ht="15" hidden="false" customHeight="false" outlineLevel="0" collapsed="false">
      <c r="A778" s="9"/>
      <c r="B778" s="9"/>
      <c r="C778" s="9"/>
      <c r="D778" s="34"/>
      <c r="E778" s="9"/>
      <c r="F778" s="35"/>
      <c r="G778" s="35"/>
      <c r="H778" s="35"/>
      <c r="I778" s="34"/>
      <c r="J778" s="35"/>
      <c r="K778" s="35"/>
      <c r="L778" s="39" t="str">
        <f aca="false">IF(A778="","",IF(I778&lt;&gt;"","Vendu","En stock"))</f>
        <v/>
      </c>
      <c r="M778" s="17" t="str">
        <f aca="false">IF(J778="","",J778-F778-G778-K778)</f>
        <v/>
      </c>
      <c r="N778" s="40" t="str">
        <f aca="false">IF(OR(J778="",J778=0),"",M778/J778)</f>
        <v/>
      </c>
      <c r="O778" s="41" t="str">
        <f aca="true">IF(D778="","",IF(I778&lt;&gt;"",I778,TODAY())-D778)</f>
        <v/>
      </c>
    </row>
    <row r="779" customFormat="false" ht="15" hidden="false" customHeight="false" outlineLevel="0" collapsed="false">
      <c r="A779" s="9"/>
      <c r="B779" s="9"/>
      <c r="C779" s="9"/>
      <c r="D779" s="34"/>
      <c r="E779" s="9"/>
      <c r="F779" s="35"/>
      <c r="G779" s="35"/>
      <c r="H779" s="35"/>
      <c r="I779" s="34"/>
      <c r="J779" s="35"/>
      <c r="K779" s="35"/>
      <c r="L779" s="39" t="str">
        <f aca="false">IF(A779="","",IF(I779&lt;&gt;"","Vendu","En stock"))</f>
        <v/>
      </c>
      <c r="M779" s="17" t="str">
        <f aca="false">IF(J779="","",J779-F779-G779-K779)</f>
        <v/>
      </c>
      <c r="N779" s="40" t="str">
        <f aca="false">IF(OR(J779="",J779=0),"",M779/J779)</f>
        <v/>
      </c>
      <c r="O779" s="41" t="str">
        <f aca="true">IF(D779="","",IF(I779&lt;&gt;"",I779,TODAY())-D779)</f>
        <v/>
      </c>
    </row>
    <row r="780" customFormat="false" ht="15" hidden="false" customHeight="false" outlineLevel="0" collapsed="false">
      <c r="A780" s="9"/>
      <c r="B780" s="9"/>
      <c r="C780" s="9"/>
      <c r="D780" s="34"/>
      <c r="E780" s="9"/>
      <c r="F780" s="35"/>
      <c r="G780" s="35"/>
      <c r="H780" s="35"/>
      <c r="I780" s="34"/>
      <c r="J780" s="35"/>
      <c r="K780" s="35"/>
      <c r="L780" s="39" t="str">
        <f aca="false">IF(A780="","",IF(I780&lt;&gt;"","Vendu","En stock"))</f>
        <v/>
      </c>
      <c r="M780" s="17" t="str">
        <f aca="false">IF(J780="","",J780-F780-G780-K780)</f>
        <v/>
      </c>
      <c r="N780" s="40" t="str">
        <f aca="false">IF(OR(J780="",J780=0),"",M780/J780)</f>
        <v/>
      </c>
      <c r="O780" s="41" t="str">
        <f aca="true">IF(D780="","",IF(I780&lt;&gt;"",I780,TODAY())-D780)</f>
        <v/>
      </c>
    </row>
    <row r="781" customFormat="false" ht="15" hidden="false" customHeight="false" outlineLevel="0" collapsed="false">
      <c r="A781" s="9"/>
      <c r="B781" s="9"/>
      <c r="C781" s="9"/>
      <c r="D781" s="34"/>
      <c r="E781" s="9"/>
      <c r="F781" s="35"/>
      <c r="G781" s="35"/>
      <c r="H781" s="35"/>
      <c r="I781" s="34"/>
      <c r="J781" s="35"/>
      <c r="K781" s="35"/>
      <c r="L781" s="39" t="str">
        <f aca="false">IF(A781="","",IF(I781&lt;&gt;"","Vendu","En stock"))</f>
        <v/>
      </c>
      <c r="M781" s="17" t="str">
        <f aca="false">IF(J781="","",J781-F781-G781-K781)</f>
        <v/>
      </c>
      <c r="N781" s="40" t="str">
        <f aca="false">IF(OR(J781="",J781=0),"",M781/J781)</f>
        <v/>
      </c>
      <c r="O781" s="41" t="str">
        <f aca="true">IF(D781="","",IF(I781&lt;&gt;"",I781,TODAY())-D781)</f>
        <v/>
      </c>
    </row>
    <row r="782" customFormat="false" ht="15" hidden="false" customHeight="false" outlineLevel="0" collapsed="false">
      <c r="A782" s="9"/>
      <c r="B782" s="9"/>
      <c r="C782" s="9"/>
      <c r="D782" s="34"/>
      <c r="E782" s="9"/>
      <c r="F782" s="35"/>
      <c r="G782" s="35"/>
      <c r="H782" s="35"/>
      <c r="I782" s="34"/>
      <c r="J782" s="35"/>
      <c r="K782" s="35"/>
      <c r="L782" s="39" t="str">
        <f aca="false">IF(A782="","",IF(I782&lt;&gt;"","Vendu","En stock"))</f>
        <v/>
      </c>
      <c r="M782" s="17" t="str">
        <f aca="false">IF(J782="","",J782-F782-G782-K782)</f>
        <v/>
      </c>
      <c r="N782" s="40" t="str">
        <f aca="false">IF(OR(J782="",J782=0),"",M782/J782)</f>
        <v/>
      </c>
      <c r="O782" s="41" t="str">
        <f aca="true">IF(D782="","",IF(I782&lt;&gt;"",I782,TODAY())-D782)</f>
        <v/>
      </c>
    </row>
    <row r="783" customFormat="false" ht="15" hidden="false" customHeight="false" outlineLevel="0" collapsed="false">
      <c r="A783" s="9"/>
      <c r="B783" s="9"/>
      <c r="C783" s="9"/>
      <c r="D783" s="34"/>
      <c r="E783" s="9"/>
      <c r="F783" s="35"/>
      <c r="G783" s="35"/>
      <c r="H783" s="35"/>
      <c r="I783" s="34"/>
      <c r="J783" s="35"/>
      <c r="K783" s="35"/>
      <c r="L783" s="39" t="str">
        <f aca="false">IF(A783="","",IF(I783&lt;&gt;"","Vendu","En stock"))</f>
        <v/>
      </c>
      <c r="M783" s="17" t="str">
        <f aca="false">IF(J783="","",J783-F783-G783-K783)</f>
        <v/>
      </c>
      <c r="N783" s="40" t="str">
        <f aca="false">IF(OR(J783="",J783=0),"",M783/J783)</f>
        <v/>
      </c>
      <c r="O783" s="41" t="str">
        <f aca="true">IF(D783="","",IF(I783&lt;&gt;"",I783,TODAY())-D783)</f>
        <v/>
      </c>
    </row>
    <row r="784" customFormat="false" ht="15" hidden="false" customHeight="false" outlineLevel="0" collapsed="false">
      <c r="A784" s="9"/>
      <c r="B784" s="9"/>
      <c r="C784" s="9"/>
      <c r="D784" s="34"/>
      <c r="E784" s="9"/>
      <c r="F784" s="35"/>
      <c r="G784" s="35"/>
      <c r="H784" s="35"/>
      <c r="I784" s="34"/>
      <c r="J784" s="35"/>
      <c r="K784" s="35"/>
      <c r="L784" s="39" t="str">
        <f aca="false">IF(A784="","",IF(I784&lt;&gt;"","Vendu","En stock"))</f>
        <v/>
      </c>
      <c r="M784" s="17" t="str">
        <f aca="false">IF(J784="","",J784-F784-G784-K784)</f>
        <v/>
      </c>
      <c r="N784" s="40" t="str">
        <f aca="false">IF(OR(J784="",J784=0),"",M784/J784)</f>
        <v/>
      </c>
      <c r="O784" s="41" t="str">
        <f aca="true">IF(D784="","",IF(I784&lt;&gt;"",I784,TODAY())-D784)</f>
        <v/>
      </c>
    </row>
    <row r="785" customFormat="false" ht="15" hidden="false" customHeight="false" outlineLevel="0" collapsed="false">
      <c r="A785" s="9"/>
      <c r="B785" s="9"/>
      <c r="C785" s="9"/>
      <c r="D785" s="34"/>
      <c r="E785" s="9"/>
      <c r="F785" s="35"/>
      <c r="G785" s="35"/>
      <c r="H785" s="35"/>
      <c r="I785" s="34"/>
      <c r="J785" s="35"/>
      <c r="K785" s="35"/>
      <c r="L785" s="39" t="str">
        <f aca="false">IF(A785="","",IF(I785&lt;&gt;"","Vendu","En stock"))</f>
        <v/>
      </c>
      <c r="M785" s="17" t="str">
        <f aca="false">IF(J785="","",J785-F785-G785-K785)</f>
        <v/>
      </c>
      <c r="N785" s="40" t="str">
        <f aca="false">IF(OR(J785="",J785=0),"",M785/J785)</f>
        <v/>
      </c>
      <c r="O785" s="41" t="str">
        <f aca="true">IF(D785="","",IF(I785&lt;&gt;"",I785,TODAY())-D785)</f>
        <v/>
      </c>
    </row>
    <row r="786" customFormat="false" ht="15" hidden="false" customHeight="false" outlineLevel="0" collapsed="false">
      <c r="A786" s="9"/>
      <c r="B786" s="9"/>
      <c r="C786" s="9"/>
      <c r="D786" s="34"/>
      <c r="E786" s="9"/>
      <c r="F786" s="35"/>
      <c r="G786" s="35"/>
      <c r="H786" s="35"/>
      <c r="I786" s="34"/>
      <c r="J786" s="35"/>
      <c r="K786" s="35"/>
      <c r="L786" s="39" t="str">
        <f aca="false">IF(A786="","",IF(I786&lt;&gt;"","Vendu","En stock"))</f>
        <v/>
      </c>
      <c r="M786" s="17" t="str">
        <f aca="false">IF(J786="","",J786-F786-G786-K786)</f>
        <v/>
      </c>
      <c r="N786" s="40" t="str">
        <f aca="false">IF(OR(J786="",J786=0),"",M786/J786)</f>
        <v/>
      </c>
      <c r="O786" s="41" t="str">
        <f aca="true">IF(D786="","",IF(I786&lt;&gt;"",I786,TODAY())-D786)</f>
        <v/>
      </c>
    </row>
    <row r="787" customFormat="false" ht="15" hidden="false" customHeight="false" outlineLevel="0" collapsed="false">
      <c r="A787" s="9"/>
      <c r="B787" s="9"/>
      <c r="C787" s="9"/>
      <c r="D787" s="34"/>
      <c r="E787" s="9"/>
      <c r="F787" s="35"/>
      <c r="G787" s="35"/>
      <c r="H787" s="35"/>
      <c r="I787" s="34"/>
      <c r="J787" s="35"/>
      <c r="K787" s="35"/>
      <c r="L787" s="39" t="str">
        <f aca="false">IF(A787="","",IF(I787&lt;&gt;"","Vendu","En stock"))</f>
        <v/>
      </c>
      <c r="M787" s="17" t="str">
        <f aca="false">IF(J787="","",J787-F787-G787-K787)</f>
        <v/>
      </c>
      <c r="N787" s="40" t="str">
        <f aca="false">IF(OR(J787="",J787=0),"",M787/J787)</f>
        <v/>
      </c>
      <c r="O787" s="41" t="str">
        <f aca="true">IF(D787="","",IF(I787&lt;&gt;"",I787,TODAY())-D787)</f>
        <v/>
      </c>
    </row>
    <row r="788" customFormat="false" ht="15" hidden="false" customHeight="false" outlineLevel="0" collapsed="false">
      <c r="A788" s="9"/>
      <c r="B788" s="9"/>
      <c r="C788" s="9"/>
      <c r="D788" s="34"/>
      <c r="E788" s="9"/>
      <c r="F788" s="35"/>
      <c r="G788" s="35"/>
      <c r="H788" s="35"/>
      <c r="I788" s="34"/>
      <c r="J788" s="35"/>
      <c r="K788" s="35"/>
      <c r="L788" s="39" t="str">
        <f aca="false">IF(A788="","",IF(I788&lt;&gt;"","Vendu","En stock"))</f>
        <v/>
      </c>
      <c r="M788" s="17" t="str">
        <f aca="false">IF(J788="","",J788-F788-G788-K788)</f>
        <v/>
      </c>
      <c r="N788" s="40" t="str">
        <f aca="false">IF(OR(J788="",J788=0),"",M788/J788)</f>
        <v/>
      </c>
      <c r="O788" s="41" t="str">
        <f aca="true">IF(D788="","",IF(I788&lt;&gt;"",I788,TODAY())-D788)</f>
        <v/>
      </c>
    </row>
    <row r="789" customFormat="false" ht="15" hidden="false" customHeight="false" outlineLevel="0" collapsed="false">
      <c r="A789" s="9"/>
      <c r="B789" s="9"/>
      <c r="C789" s="9"/>
      <c r="D789" s="34"/>
      <c r="E789" s="9"/>
      <c r="F789" s="35"/>
      <c r="G789" s="35"/>
      <c r="H789" s="35"/>
      <c r="I789" s="34"/>
      <c r="J789" s="35"/>
      <c r="K789" s="35"/>
      <c r="L789" s="39" t="str">
        <f aca="false">IF(A789="","",IF(I789&lt;&gt;"","Vendu","En stock"))</f>
        <v/>
      </c>
      <c r="M789" s="17" t="str">
        <f aca="false">IF(J789="","",J789-F789-G789-K789)</f>
        <v/>
      </c>
      <c r="N789" s="40" t="str">
        <f aca="false">IF(OR(J789="",J789=0),"",M789/J789)</f>
        <v/>
      </c>
      <c r="O789" s="41" t="str">
        <f aca="true">IF(D789="","",IF(I789&lt;&gt;"",I789,TODAY())-D789)</f>
        <v/>
      </c>
    </row>
    <row r="790" customFormat="false" ht="15" hidden="false" customHeight="false" outlineLevel="0" collapsed="false">
      <c r="A790" s="9"/>
      <c r="B790" s="9"/>
      <c r="C790" s="9"/>
      <c r="D790" s="34"/>
      <c r="E790" s="9"/>
      <c r="F790" s="35"/>
      <c r="G790" s="35"/>
      <c r="H790" s="35"/>
      <c r="I790" s="34"/>
      <c r="J790" s="35"/>
      <c r="K790" s="35"/>
      <c r="L790" s="39" t="str">
        <f aca="false">IF(A790="","",IF(I790&lt;&gt;"","Vendu","En stock"))</f>
        <v/>
      </c>
      <c r="M790" s="17" t="str">
        <f aca="false">IF(J790="","",J790-F790-G790-K790)</f>
        <v/>
      </c>
      <c r="N790" s="40" t="str">
        <f aca="false">IF(OR(J790="",J790=0),"",M790/J790)</f>
        <v/>
      </c>
      <c r="O790" s="41" t="str">
        <f aca="true">IF(D790="","",IF(I790&lt;&gt;"",I790,TODAY())-D790)</f>
        <v/>
      </c>
    </row>
    <row r="791" customFormat="false" ht="15" hidden="false" customHeight="false" outlineLevel="0" collapsed="false">
      <c r="A791" s="9"/>
      <c r="B791" s="9"/>
      <c r="C791" s="9"/>
      <c r="D791" s="34"/>
      <c r="E791" s="9"/>
      <c r="F791" s="35"/>
      <c r="G791" s="35"/>
      <c r="H791" s="35"/>
      <c r="I791" s="34"/>
      <c r="J791" s="35"/>
      <c r="K791" s="35"/>
      <c r="L791" s="39" t="str">
        <f aca="false">IF(A791="","",IF(I791&lt;&gt;"","Vendu","En stock"))</f>
        <v/>
      </c>
      <c r="M791" s="17" t="str">
        <f aca="false">IF(J791="","",J791-F791-G791-K791)</f>
        <v/>
      </c>
      <c r="N791" s="40" t="str">
        <f aca="false">IF(OR(J791="",J791=0),"",M791/J791)</f>
        <v/>
      </c>
      <c r="O791" s="41" t="str">
        <f aca="true">IF(D791="","",IF(I791&lt;&gt;"",I791,TODAY())-D791)</f>
        <v/>
      </c>
    </row>
    <row r="792" customFormat="false" ht="15" hidden="false" customHeight="false" outlineLevel="0" collapsed="false">
      <c r="A792" s="9"/>
      <c r="B792" s="9"/>
      <c r="C792" s="9"/>
      <c r="D792" s="34"/>
      <c r="E792" s="9"/>
      <c r="F792" s="35"/>
      <c r="G792" s="35"/>
      <c r="H792" s="35"/>
      <c r="I792" s="34"/>
      <c r="J792" s="35"/>
      <c r="K792" s="35"/>
      <c r="L792" s="39" t="str">
        <f aca="false">IF(A792="","",IF(I792&lt;&gt;"","Vendu","En stock"))</f>
        <v/>
      </c>
      <c r="M792" s="17" t="str">
        <f aca="false">IF(J792="","",J792-F792-G792-K792)</f>
        <v/>
      </c>
      <c r="N792" s="40" t="str">
        <f aca="false">IF(OR(J792="",J792=0),"",M792/J792)</f>
        <v/>
      </c>
      <c r="O792" s="41" t="str">
        <f aca="true">IF(D792="","",IF(I792&lt;&gt;"",I792,TODAY())-D792)</f>
        <v/>
      </c>
    </row>
    <row r="793" customFormat="false" ht="15" hidden="false" customHeight="false" outlineLevel="0" collapsed="false">
      <c r="A793" s="9"/>
      <c r="B793" s="9"/>
      <c r="C793" s="9"/>
      <c r="D793" s="34"/>
      <c r="E793" s="9"/>
      <c r="F793" s="35"/>
      <c r="G793" s="35"/>
      <c r="H793" s="35"/>
      <c r="I793" s="34"/>
      <c r="J793" s="35"/>
      <c r="K793" s="35"/>
      <c r="L793" s="39" t="str">
        <f aca="false">IF(A793="","",IF(I793&lt;&gt;"","Vendu","En stock"))</f>
        <v/>
      </c>
      <c r="M793" s="17" t="str">
        <f aca="false">IF(J793="","",J793-F793-G793-K793)</f>
        <v/>
      </c>
      <c r="N793" s="40" t="str">
        <f aca="false">IF(OR(J793="",J793=0),"",M793/J793)</f>
        <v/>
      </c>
      <c r="O793" s="41" t="str">
        <f aca="true">IF(D793="","",IF(I793&lt;&gt;"",I793,TODAY())-D793)</f>
        <v/>
      </c>
    </row>
    <row r="794" customFormat="false" ht="15" hidden="false" customHeight="false" outlineLevel="0" collapsed="false">
      <c r="A794" s="9"/>
      <c r="B794" s="9"/>
      <c r="C794" s="9"/>
      <c r="D794" s="34"/>
      <c r="E794" s="9"/>
      <c r="F794" s="35"/>
      <c r="G794" s="35"/>
      <c r="H794" s="35"/>
      <c r="I794" s="34"/>
      <c r="J794" s="35"/>
      <c r="K794" s="35"/>
      <c r="L794" s="39" t="str">
        <f aca="false">IF(A794="","",IF(I794&lt;&gt;"","Vendu","En stock"))</f>
        <v/>
      </c>
      <c r="M794" s="17" t="str">
        <f aca="false">IF(J794="","",J794-F794-G794-K794)</f>
        <v/>
      </c>
      <c r="N794" s="40" t="str">
        <f aca="false">IF(OR(J794="",J794=0),"",M794/J794)</f>
        <v/>
      </c>
      <c r="O794" s="41" t="str">
        <f aca="true">IF(D794="","",IF(I794&lt;&gt;"",I794,TODAY())-D794)</f>
        <v/>
      </c>
    </row>
    <row r="795" customFormat="false" ht="15" hidden="false" customHeight="false" outlineLevel="0" collapsed="false">
      <c r="A795" s="9"/>
      <c r="B795" s="9"/>
      <c r="C795" s="9"/>
      <c r="D795" s="34"/>
      <c r="E795" s="9"/>
      <c r="F795" s="35"/>
      <c r="G795" s="35"/>
      <c r="H795" s="35"/>
      <c r="I795" s="34"/>
      <c r="J795" s="35"/>
      <c r="K795" s="35"/>
      <c r="L795" s="39" t="str">
        <f aca="false">IF(A795="","",IF(I795&lt;&gt;"","Vendu","En stock"))</f>
        <v/>
      </c>
      <c r="M795" s="17" t="str">
        <f aca="false">IF(J795="","",J795-F795-G795-K795)</f>
        <v/>
      </c>
      <c r="N795" s="40" t="str">
        <f aca="false">IF(OR(J795="",J795=0),"",M795/J795)</f>
        <v/>
      </c>
      <c r="O795" s="41" t="str">
        <f aca="true">IF(D795="","",IF(I795&lt;&gt;"",I795,TODAY())-D795)</f>
        <v/>
      </c>
    </row>
    <row r="796" customFormat="false" ht="15" hidden="false" customHeight="false" outlineLevel="0" collapsed="false">
      <c r="A796" s="9"/>
      <c r="B796" s="9"/>
      <c r="C796" s="9"/>
      <c r="D796" s="34"/>
      <c r="E796" s="9"/>
      <c r="F796" s="35"/>
      <c r="G796" s="35"/>
      <c r="H796" s="35"/>
      <c r="I796" s="34"/>
      <c r="J796" s="35"/>
      <c r="K796" s="35"/>
      <c r="L796" s="39" t="str">
        <f aca="false">IF(A796="","",IF(I796&lt;&gt;"","Vendu","En stock"))</f>
        <v/>
      </c>
      <c r="M796" s="17" t="str">
        <f aca="false">IF(J796="","",J796-F796-G796-K796)</f>
        <v/>
      </c>
      <c r="N796" s="40" t="str">
        <f aca="false">IF(OR(J796="",J796=0),"",M796/J796)</f>
        <v/>
      </c>
      <c r="O796" s="41" t="str">
        <f aca="true">IF(D796="","",IF(I796&lt;&gt;"",I796,TODAY())-D796)</f>
        <v/>
      </c>
    </row>
    <row r="797" customFormat="false" ht="15" hidden="false" customHeight="false" outlineLevel="0" collapsed="false">
      <c r="A797" s="9"/>
      <c r="B797" s="9"/>
      <c r="C797" s="9"/>
      <c r="D797" s="34"/>
      <c r="E797" s="9"/>
      <c r="F797" s="35"/>
      <c r="G797" s="35"/>
      <c r="H797" s="35"/>
      <c r="I797" s="34"/>
      <c r="J797" s="35"/>
      <c r="K797" s="35"/>
      <c r="L797" s="39" t="str">
        <f aca="false">IF(A797="","",IF(I797&lt;&gt;"","Vendu","En stock"))</f>
        <v/>
      </c>
      <c r="M797" s="17" t="str">
        <f aca="false">IF(J797="","",J797-F797-G797-K797)</f>
        <v/>
      </c>
      <c r="N797" s="40" t="str">
        <f aca="false">IF(OR(J797="",J797=0),"",M797/J797)</f>
        <v/>
      </c>
      <c r="O797" s="41" t="str">
        <f aca="true">IF(D797="","",IF(I797&lt;&gt;"",I797,TODAY())-D797)</f>
        <v/>
      </c>
    </row>
    <row r="798" customFormat="false" ht="15" hidden="false" customHeight="false" outlineLevel="0" collapsed="false">
      <c r="A798" s="9"/>
      <c r="B798" s="9"/>
      <c r="C798" s="9"/>
      <c r="D798" s="34"/>
      <c r="E798" s="9"/>
      <c r="F798" s="35"/>
      <c r="G798" s="35"/>
      <c r="H798" s="35"/>
      <c r="I798" s="34"/>
      <c r="J798" s="35"/>
      <c r="K798" s="35"/>
      <c r="L798" s="39" t="str">
        <f aca="false">IF(A798="","",IF(I798&lt;&gt;"","Vendu","En stock"))</f>
        <v/>
      </c>
      <c r="M798" s="17" t="str">
        <f aca="false">IF(J798="","",J798-F798-G798-K798)</f>
        <v/>
      </c>
      <c r="N798" s="40" t="str">
        <f aca="false">IF(OR(J798="",J798=0),"",M798/J798)</f>
        <v/>
      </c>
      <c r="O798" s="41" t="str">
        <f aca="true">IF(D798="","",IF(I798&lt;&gt;"",I798,TODAY())-D798)</f>
        <v/>
      </c>
    </row>
    <row r="799" customFormat="false" ht="15" hidden="false" customHeight="false" outlineLevel="0" collapsed="false">
      <c r="A799" s="9"/>
      <c r="B799" s="9"/>
      <c r="C799" s="9"/>
      <c r="D799" s="34"/>
      <c r="E799" s="9"/>
      <c r="F799" s="35"/>
      <c r="G799" s="35"/>
      <c r="H799" s="35"/>
      <c r="I799" s="34"/>
      <c r="J799" s="35"/>
      <c r="K799" s="35"/>
      <c r="L799" s="39" t="str">
        <f aca="false">IF(A799="","",IF(I799&lt;&gt;"","Vendu","En stock"))</f>
        <v/>
      </c>
      <c r="M799" s="17" t="str">
        <f aca="false">IF(J799="","",J799-F799-G799-K799)</f>
        <v/>
      </c>
      <c r="N799" s="40" t="str">
        <f aca="false">IF(OR(J799="",J799=0),"",M799/J799)</f>
        <v/>
      </c>
      <c r="O799" s="41" t="str">
        <f aca="true">IF(D799="","",IF(I799&lt;&gt;"",I799,TODAY())-D799)</f>
        <v/>
      </c>
    </row>
    <row r="800" customFormat="false" ht="15" hidden="false" customHeight="false" outlineLevel="0" collapsed="false">
      <c r="A800" s="9"/>
      <c r="B800" s="9"/>
      <c r="C800" s="9"/>
      <c r="D800" s="34"/>
      <c r="E800" s="9"/>
      <c r="F800" s="35"/>
      <c r="G800" s="35"/>
      <c r="H800" s="35"/>
      <c r="I800" s="34"/>
      <c r="J800" s="35"/>
      <c r="K800" s="35"/>
      <c r="L800" s="39" t="str">
        <f aca="false">IF(A800="","",IF(I800&lt;&gt;"","Vendu","En stock"))</f>
        <v/>
      </c>
      <c r="M800" s="17" t="str">
        <f aca="false">IF(J800="","",J800-F800-G800-K800)</f>
        <v/>
      </c>
      <c r="N800" s="40" t="str">
        <f aca="false">IF(OR(J800="",J800=0),"",M800/J800)</f>
        <v/>
      </c>
      <c r="O800" s="41" t="str">
        <f aca="true">IF(D800="","",IF(I800&lt;&gt;"",I800,TODAY())-D800)</f>
        <v/>
      </c>
    </row>
    <row r="801" customFormat="false" ht="15" hidden="false" customHeight="false" outlineLevel="0" collapsed="false">
      <c r="A801" s="9"/>
      <c r="B801" s="9"/>
      <c r="C801" s="9"/>
      <c r="D801" s="34"/>
      <c r="E801" s="9"/>
      <c r="F801" s="35"/>
      <c r="G801" s="35"/>
      <c r="H801" s="35"/>
      <c r="I801" s="34"/>
      <c r="J801" s="35"/>
      <c r="K801" s="35"/>
      <c r="L801" s="39" t="str">
        <f aca="false">IF(A801="","",IF(I801&lt;&gt;"","Vendu","En stock"))</f>
        <v/>
      </c>
      <c r="M801" s="17" t="str">
        <f aca="false">IF(J801="","",J801-F801-G801-K801)</f>
        <v/>
      </c>
      <c r="N801" s="40" t="str">
        <f aca="false">IF(OR(J801="",J801=0),"",M801/J801)</f>
        <v/>
      </c>
      <c r="O801" s="41" t="str">
        <f aca="true">IF(D801="","",IF(I801&lt;&gt;"",I801,TODAY())-D801)</f>
        <v/>
      </c>
    </row>
    <row r="802" customFormat="false" ht="15" hidden="false" customHeight="false" outlineLevel="0" collapsed="false">
      <c r="A802" s="9"/>
      <c r="B802" s="9"/>
      <c r="C802" s="9"/>
      <c r="D802" s="34"/>
      <c r="E802" s="9"/>
      <c r="F802" s="35"/>
      <c r="G802" s="35"/>
      <c r="H802" s="35"/>
      <c r="I802" s="34"/>
      <c r="J802" s="35"/>
      <c r="K802" s="35"/>
      <c r="L802" s="39" t="str">
        <f aca="false">IF(A802="","",IF(I802&lt;&gt;"","Vendu","En stock"))</f>
        <v/>
      </c>
      <c r="M802" s="17" t="str">
        <f aca="false">IF(J802="","",J802-F802-G802-K802)</f>
        <v/>
      </c>
      <c r="N802" s="40" t="str">
        <f aca="false">IF(OR(J802="",J802=0),"",M802/J802)</f>
        <v/>
      </c>
      <c r="O802" s="41" t="str">
        <f aca="true">IF(D802="","",IF(I802&lt;&gt;"",I802,TODAY())-D802)</f>
        <v/>
      </c>
    </row>
    <row r="803" customFormat="false" ht="15" hidden="false" customHeight="false" outlineLevel="0" collapsed="false">
      <c r="A803" s="9"/>
      <c r="B803" s="9"/>
      <c r="C803" s="9"/>
      <c r="D803" s="34"/>
      <c r="E803" s="9"/>
      <c r="F803" s="35"/>
      <c r="G803" s="35"/>
      <c r="H803" s="35"/>
      <c r="I803" s="34"/>
      <c r="J803" s="35"/>
      <c r="K803" s="35"/>
      <c r="L803" s="39" t="str">
        <f aca="false">IF(A803="","",IF(I803&lt;&gt;"","Vendu","En stock"))</f>
        <v/>
      </c>
      <c r="M803" s="17" t="str">
        <f aca="false">IF(J803="","",J803-F803-G803-K803)</f>
        <v/>
      </c>
      <c r="N803" s="40" t="str">
        <f aca="false">IF(OR(J803="",J803=0),"",M803/J803)</f>
        <v/>
      </c>
      <c r="O803" s="41" t="str">
        <f aca="true">IF(D803="","",IF(I803&lt;&gt;"",I803,TODAY())-D803)</f>
        <v/>
      </c>
    </row>
    <row r="804" customFormat="false" ht="15" hidden="false" customHeight="false" outlineLevel="0" collapsed="false">
      <c r="A804" s="9"/>
      <c r="B804" s="9"/>
      <c r="C804" s="9"/>
      <c r="D804" s="34"/>
      <c r="E804" s="9"/>
      <c r="F804" s="35"/>
      <c r="G804" s="35"/>
      <c r="H804" s="35"/>
      <c r="I804" s="34"/>
      <c r="J804" s="35"/>
      <c r="K804" s="35"/>
      <c r="L804" s="39" t="str">
        <f aca="false">IF(A804="","",IF(I804&lt;&gt;"","Vendu","En stock"))</f>
        <v/>
      </c>
      <c r="M804" s="17" t="str">
        <f aca="false">IF(J804="","",J804-F804-G804-K804)</f>
        <v/>
      </c>
      <c r="N804" s="40" t="str">
        <f aca="false">IF(OR(J804="",J804=0),"",M804/J804)</f>
        <v/>
      </c>
      <c r="O804" s="41" t="str">
        <f aca="true">IF(D804="","",IF(I804&lt;&gt;"",I804,TODAY())-D804)</f>
        <v/>
      </c>
    </row>
    <row r="805" customFormat="false" ht="15" hidden="false" customHeight="false" outlineLevel="0" collapsed="false">
      <c r="A805" s="9"/>
      <c r="B805" s="9"/>
      <c r="C805" s="9"/>
      <c r="D805" s="34"/>
      <c r="E805" s="9"/>
      <c r="F805" s="35"/>
      <c r="G805" s="35"/>
      <c r="H805" s="35"/>
      <c r="I805" s="34"/>
      <c r="J805" s="35"/>
      <c r="K805" s="35"/>
      <c r="L805" s="39" t="str">
        <f aca="false">IF(A805="","",IF(I805&lt;&gt;"","Vendu","En stock"))</f>
        <v/>
      </c>
      <c r="M805" s="17" t="str">
        <f aca="false">IF(J805="","",J805-F805-G805-K805)</f>
        <v/>
      </c>
      <c r="N805" s="40" t="str">
        <f aca="false">IF(OR(J805="",J805=0),"",M805/J805)</f>
        <v/>
      </c>
      <c r="O805" s="41" t="str">
        <f aca="true">IF(D805="","",IF(I805&lt;&gt;"",I805,TODAY())-D805)</f>
        <v/>
      </c>
    </row>
    <row r="806" customFormat="false" ht="15" hidden="false" customHeight="false" outlineLevel="0" collapsed="false">
      <c r="A806" s="9"/>
      <c r="B806" s="9"/>
      <c r="C806" s="9"/>
      <c r="D806" s="34"/>
      <c r="E806" s="9"/>
      <c r="F806" s="35"/>
      <c r="G806" s="35"/>
      <c r="H806" s="35"/>
      <c r="I806" s="34"/>
      <c r="J806" s="35"/>
      <c r="K806" s="35"/>
      <c r="L806" s="39" t="str">
        <f aca="false">IF(A806="","",IF(I806&lt;&gt;"","Vendu","En stock"))</f>
        <v/>
      </c>
      <c r="M806" s="17" t="str">
        <f aca="false">IF(J806="","",J806-F806-G806-K806)</f>
        <v/>
      </c>
      <c r="N806" s="40" t="str">
        <f aca="false">IF(OR(J806="",J806=0),"",M806/J806)</f>
        <v/>
      </c>
      <c r="O806" s="41" t="str">
        <f aca="true">IF(D806="","",IF(I806&lt;&gt;"",I806,TODAY())-D806)</f>
        <v/>
      </c>
    </row>
    <row r="807" customFormat="false" ht="15" hidden="false" customHeight="false" outlineLevel="0" collapsed="false">
      <c r="A807" s="9"/>
      <c r="B807" s="9"/>
      <c r="C807" s="9"/>
      <c r="D807" s="34"/>
      <c r="E807" s="9"/>
      <c r="F807" s="35"/>
      <c r="G807" s="35"/>
      <c r="H807" s="35"/>
      <c r="I807" s="34"/>
      <c r="J807" s="35"/>
      <c r="K807" s="35"/>
      <c r="L807" s="39" t="str">
        <f aca="false">IF(A807="","",IF(I807&lt;&gt;"","Vendu","En stock"))</f>
        <v/>
      </c>
      <c r="M807" s="17" t="str">
        <f aca="false">IF(J807="","",J807-F807-G807-K807)</f>
        <v/>
      </c>
      <c r="N807" s="40" t="str">
        <f aca="false">IF(OR(J807="",J807=0),"",M807/J807)</f>
        <v/>
      </c>
      <c r="O807" s="41" t="str">
        <f aca="true">IF(D807="","",IF(I807&lt;&gt;"",I807,TODAY())-D807)</f>
        <v/>
      </c>
    </row>
    <row r="808" customFormat="false" ht="15" hidden="false" customHeight="false" outlineLevel="0" collapsed="false">
      <c r="A808" s="9"/>
      <c r="B808" s="9"/>
      <c r="C808" s="9"/>
      <c r="D808" s="34"/>
      <c r="E808" s="9"/>
      <c r="F808" s="35"/>
      <c r="G808" s="35"/>
      <c r="H808" s="35"/>
      <c r="I808" s="34"/>
      <c r="J808" s="35"/>
      <c r="K808" s="35"/>
      <c r="L808" s="39" t="str">
        <f aca="false">IF(A808="","",IF(I808&lt;&gt;"","Vendu","En stock"))</f>
        <v/>
      </c>
      <c r="M808" s="17" t="str">
        <f aca="false">IF(J808="","",J808-F808-G808-K808)</f>
        <v/>
      </c>
      <c r="N808" s="40" t="str">
        <f aca="false">IF(OR(J808="",J808=0),"",M808/J808)</f>
        <v/>
      </c>
      <c r="O808" s="41" t="str">
        <f aca="true">IF(D808="","",IF(I808&lt;&gt;"",I808,TODAY())-D808)</f>
        <v/>
      </c>
    </row>
    <row r="809" customFormat="false" ht="15" hidden="false" customHeight="false" outlineLevel="0" collapsed="false">
      <c r="A809" s="9"/>
      <c r="B809" s="9"/>
      <c r="C809" s="9"/>
      <c r="D809" s="34"/>
      <c r="E809" s="9"/>
      <c r="F809" s="35"/>
      <c r="G809" s="35"/>
      <c r="H809" s="35"/>
      <c r="I809" s="34"/>
      <c r="J809" s="35"/>
      <c r="K809" s="35"/>
      <c r="L809" s="39" t="str">
        <f aca="false">IF(A809="","",IF(I809&lt;&gt;"","Vendu","En stock"))</f>
        <v/>
      </c>
      <c r="M809" s="17" t="str">
        <f aca="false">IF(J809="","",J809-F809-G809-K809)</f>
        <v/>
      </c>
      <c r="N809" s="40" t="str">
        <f aca="false">IF(OR(J809="",J809=0),"",M809/J809)</f>
        <v/>
      </c>
      <c r="O809" s="41" t="str">
        <f aca="true">IF(D809="","",IF(I809&lt;&gt;"",I809,TODAY())-D809)</f>
        <v/>
      </c>
    </row>
    <row r="810" customFormat="false" ht="15" hidden="false" customHeight="false" outlineLevel="0" collapsed="false">
      <c r="A810" s="9"/>
      <c r="B810" s="9"/>
      <c r="C810" s="9"/>
      <c r="D810" s="34"/>
      <c r="E810" s="9"/>
      <c r="F810" s="35"/>
      <c r="G810" s="35"/>
      <c r="H810" s="35"/>
      <c r="I810" s="34"/>
      <c r="J810" s="35"/>
      <c r="K810" s="35"/>
      <c r="L810" s="39" t="str">
        <f aca="false">IF(A810="","",IF(I810&lt;&gt;"","Vendu","En stock"))</f>
        <v/>
      </c>
      <c r="M810" s="17" t="str">
        <f aca="false">IF(J810="","",J810-F810-G810-K810)</f>
        <v/>
      </c>
      <c r="N810" s="40" t="str">
        <f aca="false">IF(OR(J810="",J810=0),"",M810/J810)</f>
        <v/>
      </c>
      <c r="O810" s="41" t="str">
        <f aca="true">IF(D810="","",IF(I810&lt;&gt;"",I810,TODAY())-D810)</f>
        <v/>
      </c>
    </row>
    <row r="811" customFormat="false" ht="15" hidden="false" customHeight="false" outlineLevel="0" collapsed="false">
      <c r="A811" s="9"/>
      <c r="B811" s="9"/>
      <c r="C811" s="9"/>
      <c r="D811" s="34"/>
      <c r="E811" s="9"/>
      <c r="F811" s="35"/>
      <c r="G811" s="35"/>
      <c r="H811" s="35"/>
      <c r="I811" s="34"/>
      <c r="J811" s="35"/>
      <c r="K811" s="35"/>
      <c r="L811" s="39" t="str">
        <f aca="false">IF(A811="","",IF(I811&lt;&gt;"","Vendu","En stock"))</f>
        <v/>
      </c>
      <c r="M811" s="17" t="str">
        <f aca="false">IF(J811="","",J811-F811-G811-K811)</f>
        <v/>
      </c>
      <c r="N811" s="40" t="str">
        <f aca="false">IF(OR(J811="",J811=0),"",M811/J811)</f>
        <v/>
      </c>
      <c r="O811" s="41" t="str">
        <f aca="true">IF(D811="","",IF(I811&lt;&gt;"",I811,TODAY())-D811)</f>
        <v/>
      </c>
    </row>
    <row r="812" customFormat="false" ht="15" hidden="false" customHeight="false" outlineLevel="0" collapsed="false">
      <c r="A812" s="9"/>
      <c r="B812" s="9"/>
      <c r="C812" s="9"/>
      <c r="D812" s="34"/>
      <c r="E812" s="9"/>
      <c r="F812" s="35"/>
      <c r="G812" s="35"/>
      <c r="H812" s="35"/>
      <c r="I812" s="34"/>
      <c r="J812" s="35"/>
      <c r="K812" s="35"/>
      <c r="L812" s="39" t="str">
        <f aca="false">IF(A812="","",IF(I812&lt;&gt;"","Vendu","En stock"))</f>
        <v/>
      </c>
      <c r="M812" s="17" t="str">
        <f aca="false">IF(J812="","",J812-F812-G812-K812)</f>
        <v/>
      </c>
      <c r="N812" s="40" t="str">
        <f aca="false">IF(OR(J812="",J812=0),"",M812/J812)</f>
        <v/>
      </c>
      <c r="O812" s="41" t="str">
        <f aca="true">IF(D812="","",IF(I812&lt;&gt;"",I812,TODAY())-D812)</f>
        <v/>
      </c>
    </row>
    <row r="813" customFormat="false" ht="15" hidden="false" customHeight="false" outlineLevel="0" collapsed="false">
      <c r="A813" s="9"/>
      <c r="B813" s="9"/>
      <c r="C813" s="9"/>
      <c r="D813" s="34"/>
      <c r="E813" s="9"/>
      <c r="F813" s="35"/>
      <c r="G813" s="35"/>
      <c r="H813" s="35"/>
      <c r="I813" s="34"/>
      <c r="J813" s="35"/>
      <c r="K813" s="35"/>
      <c r="L813" s="39" t="str">
        <f aca="false">IF(A813="","",IF(I813&lt;&gt;"","Vendu","En stock"))</f>
        <v/>
      </c>
      <c r="M813" s="17" t="str">
        <f aca="false">IF(J813="","",J813-F813-G813-K813)</f>
        <v/>
      </c>
      <c r="N813" s="40" t="str">
        <f aca="false">IF(OR(J813="",J813=0),"",M813/J813)</f>
        <v/>
      </c>
      <c r="O813" s="41" t="str">
        <f aca="true">IF(D813="","",IF(I813&lt;&gt;"",I813,TODAY())-D813)</f>
        <v/>
      </c>
    </row>
    <row r="814" customFormat="false" ht="15" hidden="false" customHeight="false" outlineLevel="0" collapsed="false">
      <c r="A814" s="9"/>
      <c r="B814" s="9"/>
      <c r="C814" s="9"/>
      <c r="D814" s="34"/>
      <c r="E814" s="9"/>
      <c r="F814" s="35"/>
      <c r="G814" s="35"/>
      <c r="H814" s="35"/>
      <c r="I814" s="34"/>
      <c r="J814" s="35"/>
      <c r="K814" s="35"/>
      <c r="L814" s="39" t="str">
        <f aca="false">IF(A814="","",IF(I814&lt;&gt;"","Vendu","En stock"))</f>
        <v/>
      </c>
      <c r="M814" s="17" t="str">
        <f aca="false">IF(J814="","",J814-F814-G814-K814)</f>
        <v/>
      </c>
      <c r="N814" s="40" t="str">
        <f aca="false">IF(OR(J814="",J814=0),"",M814/J814)</f>
        <v/>
      </c>
      <c r="O814" s="41" t="str">
        <f aca="true">IF(D814="","",IF(I814&lt;&gt;"",I814,TODAY())-D814)</f>
        <v/>
      </c>
    </row>
    <row r="815" customFormat="false" ht="15" hidden="false" customHeight="false" outlineLevel="0" collapsed="false">
      <c r="A815" s="9"/>
      <c r="B815" s="9"/>
      <c r="C815" s="9"/>
      <c r="D815" s="34"/>
      <c r="E815" s="9"/>
      <c r="F815" s="35"/>
      <c r="G815" s="35"/>
      <c r="H815" s="35"/>
      <c r="I815" s="34"/>
      <c r="J815" s="35"/>
      <c r="K815" s="35"/>
      <c r="L815" s="39" t="str">
        <f aca="false">IF(A815="","",IF(I815&lt;&gt;"","Vendu","En stock"))</f>
        <v/>
      </c>
      <c r="M815" s="17" t="str">
        <f aca="false">IF(J815="","",J815-F815-G815-K815)</f>
        <v/>
      </c>
      <c r="N815" s="40" t="str">
        <f aca="false">IF(OR(J815="",J815=0),"",M815/J815)</f>
        <v/>
      </c>
      <c r="O815" s="41" t="str">
        <f aca="true">IF(D815="","",IF(I815&lt;&gt;"",I815,TODAY())-D815)</f>
        <v/>
      </c>
    </row>
    <row r="816" customFormat="false" ht="15" hidden="false" customHeight="false" outlineLevel="0" collapsed="false">
      <c r="A816" s="9"/>
      <c r="B816" s="9"/>
      <c r="C816" s="9"/>
      <c r="D816" s="34"/>
      <c r="E816" s="9"/>
      <c r="F816" s="35"/>
      <c r="G816" s="35"/>
      <c r="H816" s="35"/>
      <c r="I816" s="34"/>
      <c r="J816" s="35"/>
      <c r="K816" s="35"/>
      <c r="L816" s="39" t="str">
        <f aca="false">IF(A816="","",IF(I816&lt;&gt;"","Vendu","En stock"))</f>
        <v/>
      </c>
      <c r="M816" s="17" t="str">
        <f aca="false">IF(J816="","",J816-F816-G816-K816)</f>
        <v/>
      </c>
      <c r="N816" s="40" t="str">
        <f aca="false">IF(OR(J816="",J816=0),"",M816/J816)</f>
        <v/>
      </c>
      <c r="O816" s="41" t="str">
        <f aca="true">IF(D816="","",IF(I816&lt;&gt;"",I816,TODAY())-D816)</f>
        <v/>
      </c>
    </row>
    <row r="817" customFormat="false" ht="15" hidden="false" customHeight="false" outlineLevel="0" collapsed="false">
      <c r="A817" s="9"/>
      <c r="B817" s="9"/>
      <c r="C817" s="9"/>
      <c r="D817" s="34"/>
      <c r="E817" s="9"/>
      <c r="F817" s="35"/>
      <c r="G817" s="35"/>
      <c r="H817" s="35"/>
      <c r="I817" s="34"/>
      <c r="J817" s="35"/>
      <c r="K817" s="35"/>
      <c r="L817" s="39" t="str">
        <f aca="false">IF(A817="","",IF(I817&lt;&gt;"","Vendu","En stock"))</f>
        <v/>
      </c>
      <c r="M817" s="17" t="str">
        <f aca="false">IF(J817="","",J817-F817-G817-K817)</f>
        <v/>
      </c>
      <c r="N817" s="40" t="str">
        <f aca="false">IF(OR(J817="",J817=0),"",M817/J817)</f>
        <v/>
      </c>
      <c r="O817" s="41" t="str">
        <f aca="true">IF(D817="","",IF(I817&lt;&gt;"",I817,TODAY())-D817)</f>
        <v/>
      </c>
    </row>
    <row r="818" customFormat="false" ht="15" hidden="false" customHeight="false" outlineLevel="0" collapsed="false">
      <c r="A818" s="9"/>
      <c r="B818" s="9"/>
      <c r="C818" s="9"/>
      <c r="D818" s="34"/>
      <c r="E818" s="9"/>
      <c r="F818" s="35"/>
      <c r="G818" s="35"/>
      <c r="H818" s="35"/>
      <c r="I818" s="34"/>
      <c r="J818" s="35"/>
      <c r="K818" s="35"/>
      <c r="L818" s="39" t="str">
        <f aca="false">IF(A818="","",IF(I818&lt;&gt;"","Vendu","En stock"))</f>
        <v/>
      </c>
      <c r="M818" s="17" t="str">
        <f aca="false">IF(J818="","",J818-F818-G818-K818)</f>
        <v/>
      </c>
      <c r="N818" s="40" t="str">
        <f aca="false">IF(OR(J818="",J818=0),"",M818/J818)</f>
        <v/>
      </c>
      <c r="O818" s="41" t="str">
        <f aca="true">IF(D818="","",IF(I818&lt;&gt;"",I818,TODAY())-D818)</f>
        <v/>
      </c>
    </row>
    <row r="819" customFormat="false" ht="15" hidden="false" customHeight="false" outlineLevel="0" collapsed="false">
      <c r="A819" s="9"/>
      <c r="B819" s="9"/>
      <c r="C819" s="9"/>
      <c r="D819" s="34"/>
      <c r="E819" s="9"/>
      <c r="F819" s="35"/>
      <c r="G819" s="35"/>
      <c r="H819" s="35"/>
      <c r="I819" s="34"/>
      <c r="J819" s="35"/>
      <c r="K819" s="35"/>
      <c r="L819" s="39" t="str">
        <f aca="false">IF(A819="","",IF(I819&lt;&gt;"","Vendu","En stock"))</f>
        <v/>
      </c>
      <c r="M819" s="17" t="str">
        <f aca="false">IF(J819="","",J819-F819-G819-K819)</f>
        <v/>
      </c>
      <c r="N819" s="40" t="str">
        <f aca="false">IF(OR(J819="",J819=0),"",M819/J819)</f>
        <v/>
      </c>
      <c r="O819" s="41" t="str">
        <f aca="true">IF(D819="","",IF(I819&lt;&gt;"",I819,TODAY())-D819)</f>
        <v/>
      </c>
    </row>
    <row r="820" customFormat="false" ht="15" hidden="false" customHeight="false" outlineLevel="0" collapsed="false">
      <c r="A820" s="9"/>
      <c r="B820" s="9"/>
      <c r="C820" s="9"/>
      <c r="D820" s="34"/>
      <c r="E820" s="9"/>
      <c r="F820" s="35"/>
      <c r="G820" s="35"/>
      <c r="H820" s="35"/>
      <c r="I820" s="34"/>
      <c r="J820" s="35"/>
      <c r="K820" s="35"/>
      <c r="L820" s="39" t="str">
        <f aca="false">IF(A820="","",IF(I820&lt;&gt;"","Vendu","En stock"))</f>
        <v/>
      </c>
      <c r="M820" s="17" t="str">
        <f aca="false">IF(J820="","",J820-F820-G820-K820)</f>
        <v/>
      </c>
      <c r="N820" s="40" t="str">
        <f aca="false">IF(OR(J820="",J820=0),"",M820/J820)</f>
        <v/>
      </c>
      <c r="O820" s="41" t="str">
        <f aca="true">IF(D820="","",IF(I820&lt;&gt;"",I820,TODAY())-D820)</f>
        <v/>
      </c>
    </row>
    <row r="821" customFormat="false" ht="15" hidden="false" customHeight="false" outlineLevel="0" collapsed="false">
      <c r="A821" s="9"/>
      <c r="B821" s="9"/>
      <c r="C821" s="9"/>
      <c r="D821" s="34"/>
      <c r="E821" s="9"/>
      <c r="F821" s="35"/>
      <c r="G821" s="35"/>
      <c r="H821" s="35"/>
      <c r="I821" s="34"/>
      <c r="J821" s="35"/>
      <c r="K821" s="35"/>
      <c r="L821" s="39" t="str">
        <f aca="false">IF(A821="","",IF(I821&lt;&gt;"","Vendu","En stock"))</f>
        <v/>
      </c>
      <c r="M821" s="17" t="str">
        <f aca="false">IF(J821="","",J821-F821-G821-K821)</f>
        <v/>
      </c>
      <c r="N821" s="40" t="str">
        <f aca="false">IF(OR(J821="",J821=0),"",M821/J821)</f>
        <v/>
      </c>
      <c r="O821" s="41" t="str">
        <f aca="true">IF(D821="","",IF(I821&lt;&gt;"",I821,TODAY())-D821)</f>
        <v/>
      </c>
    </row>
    <row r="822" customFormat="false" ht="15" hidden="false" customHeight="false" outlineLevel="0" collapsed="false">
      <c r="A822" s="9"/>
      <c r="B822" s="9"/>
      <c r="C822" s="9"/>
      <c r="D822" s="34"/>
      <c r="E822" s="9"/>
      <c r="F822" s="35"/>
      <c r="G822" s="35"/>
      <c r="H822" s="35"/>
      <c r="I822" s="34"/>
      <c r="J822" s="35"/>
      <c r="K822" s="35"/>
      <c r="L822" s="39" t="str">
        <f aca="false">IF(A822="","",IF(I822&lt;&gt;"","Vendu","En stock"))</f>
        <v/>
      </c>
      <c r="M822" s="17" t="str">
        <f aca="false">IF(J822="","",J822-F822-G822-K822)</f>
        <v/>
      </c>
      <c r="N822" s="40" t="str">
        <f aca="false">IF(OR(J822="",J822=0),"",M822/J822)</f>
        <v/>
      </c>
      <c r="O822" s="41" t="str">
        <f aca="true">IF(D822="","",IF(I822&lt;&gt;"",I822,TODAY())-D822)</f>
        <v/>
      </c>
    </row>
    <row r="823" customFormat="false" ht="15" hidden="false" customHeight="false" outlineLevel="0" collapsed="false">
      <c r="A823" s="9"/>
      <c r="B823" s="9"/>
      <c r="C823" s="9"/>
      <c r="D823" s="34"/>
      <c r="E823" s="9"/>
      <c r="F823" s="35"/>
      <c r="G823" s="35"/>
      <c r="H823" s="35"/>
      <c r="I823" s="34"/>
      <c r="J823" s="35"/>
      <c r="K823" s="35"/>
      <c r="L823" s="39" t="str">
        <f aca="false">IF(A823="","",IF(I823&lt;&gt;"","Vendu","En stock"))</f>
        <v/>
      </c>
      <c r="M823" s="17" t="str">
        <f aca="false">IF(J823="","",J823-F823-G823-K823)</f>
        <v/>
      </c>
      <c r="N823" s="40" t="str">
        <f aca="false">IF(OR(J823="",J823=0),"",M823/J823)</f>
        <v/>
      </c>
      <c r="O823" s="41" t="str">
        <f aca="true">IF(D823="","",IF(I823&lt;&gt;"",I823,TODAY())-D823)</f>
        <v/>
      </c>
    </row>
    <row r="824" customFormat="false" ht="15" hidden="false" customHeight="false" outlineLevel="0" collapsed="false">
      <c r="A824" s="9"/>
      <c r="B824" s="9"/>
      <c r="C824" s="9"/>
      <c r="D824" s="34"/>
      <c r="E824" s="9"/>
      <c r="F824" s="35"/>
      <c r="G824" s="35"/>
      <c r="H824" s="35"/>
      <c r="I824" s="34"/>
      <c r="J824" s="35"/>
      <c r="K824" s="35"/>
      <c r="L824" s="39" t="str">
        <f aca="false">IF(A824="","",IF(I824&lt;&gt;"","Vendu","En stock"))</f>
        <v/>
      </c>
      <c r="M824" s="17" t="str">
        <f aca="false">IF(J824="","",J824-F824-G824-K824)</f>
        <v/>
      </c>
      <c r="N824" s="40" t="str">
        <f aca="false">IF(OR(J824="",J824=0),"",M824/J824)</f>
        <v/>
      </c>
      <c r="O824" s="41" t="str">
        <f aca="true">IF(D824="","",IF(I824&lt;&gt;"",I824,TODAY())-D824)</f>
        <v/>
      </c>
    </row>
    <row r="825" customFormat="false" ht="15" hidden="false" customHeight="false" outlineLevel="0" collapsed="false">
      <c r="A825" s="9"/>
      <c r="B825" s="9"/>
      <c r="C825" s="9"/>
      <c r="D825" s="34"/>
      <c r="E825" s="9"/>
      <c r="F825" s="35"/>
      <c r="G825" s="35"/>
      <c r="H825" s="35"/>
      <c r="I825" s="34"/>
      <c r="J825" s="35"/>
      <c r="K825" s="35"/>
      <c r="L825" s="39" t="str">
        <f aca="false">IF(A825="","",IF(I825&lt;&gt;"","Vendu","En stock"))</f>
        <v/>
      </c>
      <c r="M825" s="17" t="str">
        <f aca="false">IF(J825="","",J825-F825-G825-K825)</f>
        <v/>
      </c>
      <c r="N825" s="40" t="str">
        <f aca="false">IF(OR(J825="",J825=0),"",M825/J825)</f>
        <v/>
      </c>
      <c r="O825" s="41" t="str">
        <f aca="true">IF(D825="","",IF(I825&lt;&gt;"",I825,TODAY())-D825)</f>
        <v/>
      </c>
    </row>
    <row r="826" customFormat="false" ht="15" hidden="false" customHeight="false" outlineLevel="0" collapsed="false">
      <c r="A826" s="9"/>
      <c r="B826" s="9"/>
      <c r="C826" s="9"/>
      <c r="D826" s="34"/>
      <c r="E826" s="9"/>
      <c r="F826" s="35"/>
      <c r="G826" s="35"/>
      <c r="H826" s="35"/>
      <c r="I826" s="34"/>
      <c r="J826" s="35"/>
      <c r="K826" s="35"/>
      <c r="L826" s="39" t="str">
        <f aca="false">IF(A826="","",IF(I826&lt;&gt;"","Vendu","En stock"))</f>
        <v/>
      </c>
      <c r="M826" s="17" t="str">
        <f aca="false">IF(J826="","",J826-F826-G826-K826)</f>
        <v/>
      </c>
      <c r="N826" s="40" t="str">
        <f aca="false">IF(OR(J826="",J826=0),"",M826/J826)</f>
        <v/>
      </c>
      <c r="O826" s="41" t="str">
        <f aca="true">IF(D826="","",IF(I826&lt;&gt;"",I826,TODAY())-D826)</f>
        <v/>
      </c>
    </row>
    <row r="827" customFormat="false" ht="15" hidden="false" customHeight="false" outlineLevel="0" collapsed="false">
      <c r="A827" s="9"/>
      <c r="B827" s="9"/>
      <c r="C827" s="9"/>
      <c r="D827" s="34"/>
      <c r="E827" s="9"/>
      <c r="F827" s="35"/>
      <c r="G827" s="35"/>
      <c r="H827" s="35"/>
      <c r="I827" s="34"/>
      <c r="J827" s="35"/>
      <c r="K827" s="35"/>
      <c r="L827" s="39" t="str">
        <f aca="false">IF(A827="","",IF(I827&lt;&gt;"","Vendu","En stock"))</f>
        <v/>
      </c>
      <c r="M827" s="17" t="str">
        <f aca="false">IF(J827="","",J827-F827-G827-K827)</f>
        <v/>
      </c>
      <c r="N827" s="40" t="str">
        <f aca="false">IF(OR(J827="",J827=0),"",M827/J827)</f>
        <v/>
      </c>
      <c r="O827" s="41" t="str">
        <f aca="true">IF(D827="","",IF(I827&lt;&gt;"",I827,TODAY())-D827)</f>
        <v/>
      </c>
    </row>
    <row r="828" customFormat="false" ht="15" hidden="false" customHeight="false" outlineLevel="0" collapsed="false">
      <c r="A828" s="9"/>
      <c r="B828" s="9"/>
      <c r="C828" s="9"/>
      <c r="D828" s="34"/>
      <c r="E828" s="9"/>
      <c r="F828" s="35"/>
      <c r="G828" s="35"/>
      <c r="H828" s="35"/>
      <c r="I828" s="34"/>
      <c r="J828" s="35"/>
      <c r="K828" s="35"/>
      <c r="L828" s="39" t="str">
        <f aca="false">IF(A828="","",IF(I828&lt;&gt;"","Vendu","En stock"))</f>
        <v/>
      </c>
      <c r="M828" s="17" t="str">
        <f aca="false">IF(J828="","",J828-F828-G828-K828)</f>
        <v/>
      </c>
      <c r="N828" s="40" t="str">
        <f aca="false">IF(OR(J828="",J828=0),"",M828/J828)</f>
        <v/>
      </c>
      <c r="O828" s="41" t="str">
        <f aca="true">IF(D828="","",IF(I828&lt;&gt;"",I828,TODAY())-D828)</f>
        <v/>
      </c>
    </row>
    <row r="829" customFormat="false" ht="15" hidden="false" customHeight="false" outlineLevel="0" collapsed="false">
      <c r="A829" s="9"/>
      <c r="B829" s="9"/>
      <c r="C829" s="9"/>
      <c r="D829" s="34"/>
      <c r="E829" s="9"/>
      <c r="F829" s="35"/>
      <c r="G829" s="35"/>
      <c r="H829" s="35"/>
      <c r="I829" s="34"/>
      <c r="J829" s="35"/>
      <c r="K829" s="35"/>
      <c r="L829" s="39" t="str">
        <f aca="false">IF(A829="","",IF(I829&lt;&gt;"","Vendu","En stock"))</f>
        <v/>
      </c>
      <c r="M829" s="17" t="str">
        <f aca="false">IF(J829="","",J829-F829-G829-K829)</f>
        <v/>
      </c>
      <c r="N829" s="40" t="str">
        <f aca="false">IF(OR(J829="",J829=0),"",M829/J829)</f>
        <v/>
      </c>
      <c r="O829" s="41" t="str">
        <f aca="true">IF(D829="","",IF(I829&lt;&gt;"",I829,TODAY())-D829)</f>
        <v/>
      </c>
    </row>
    <row r="830" customFormat="false" ht="15" hidden="false" customHeight="false" outlineLevel="0" collapsed="false">
      <c r="A830" s="9"/>
      <c r="B830" s="9"/>
      <c r="C830" s="9"/>
      <c r="D830" s="34"/>
      <c r="E830" s="9"/>
      <c r="F830" s="35"/>
      <c r="G830" s="35"/>
      <c r="H830" s="35"/>
      <c r="I830" s="34"/>
      <c r="J830" s="35"/>
      <c r="K830" s="35"/>
      <c r="L830" s="39" t="str">
        <f aca="false">IF(A830="","",IF(I830&lt;&gt;"","Vendu","En stock"))</f>
        <v/>
      </c>
      <c r="M830" s="17" t="str">
        <f aca="false">IF(J830="","",J830-F830-G830-K830)</f>
        <v/>
      </c>
      <c r="N830" s="40" t="str">
        <f aca="false">IF(OR(J830="",J830=0),"",M830/J830)</f>
        <v/>
      </c>
      <c r="O830" s="41" t="str">
        <f aca="true">IF(D830="","",IF(I830&lt;&gt;"",I830,TODAY())-D830)</f>
        <v/>
      </c>
    </row>
    <row r="831" customFormat="false" ht="15" hidden="false" customHeight="false" outlineLevel="0" collapsed="false">
      <c r="A831" s="9"/>
      <c r="B831" s="9"/>
      <c r="C831" s="9"/>
      <c r="D831" s="34"/>
      <c r="E831" s="9"/>
      <c r="F831" s="35"/>
      <c r="G831" s="35"/>
      <c r="H831" s="35"/>
      <c r="I831" s="34"/>
      <c r="J831" s="35"/>
      <c r="K831" s="35"/>
      <c r="L831" s="39" t="str">
        <f aca="false">IF(A831="","",IF(I831&lt;&gt;"","Vendu","En stock"))</f>
        <v/>
      </c>
      <c r="M831" s="17" t="str">
        <f aca="false">IF(J831="","",J831-F831-G831-K831)</f>
        <v/>
      </c>
      <c r="N831" s="40" t="str">
        <f aca="false">IF(OR(J831="",J831=0),"",M831/J831)</f>
        <v/>
      </c>
      <c r="O831" s="41" t="str">
        <f aca="true">IF(D831="","",IF(I831&lt;&gt;"",I831,TODAY())-D831)</f>
        <v/>
      </c>
    </row>
    <row r="832" customFormat="false" ht="15" hidden="false" customHeight="false" outlineLevel="0" collapsed="false">
      <c r="A832" s="9"/>
      <c r="B832" s="9"/>
      <c r="C832" s="9"/>
      <c r="D832" s="34"/>
      <c r="E832" s="9"/>
      <c r="F832" s="35"/>
      <c r="G832" s="35"/>
      <c r="H832" s="35"/>
      <c r="I832" s="34"/>
      <c r="J832" s="35"/>
      <c r="K832" s="35"/>
      <c r="L832" s="39" t="str">
        <f aca="false">IF(A832="","",IF(I832&lt;&gt;"","Vendu","En stock"))</f>
        <v/>
      </c>
      <c r="M832" s="17" t="str">
        <f aca="false">IF(J832="","",J832-F832-G832-K832)</f>
        <v/>
      </c>
      <c r="N832" s="40" t="str">
        <f aca="false">IF(OR(J832="",J832=0),"",M832/J832)</f>
        <v/>
      </c>
      <c r="O832" s="41" t="str">
        <f aca="true">IF(D832="","",IF(I832&lt;&gt;"",I832,TODAY())-D832)</f>
        <v/>
      </c>
    </row>
    <row r="833" customFormat="false" ht="15" hidden="false" customHeight="false" outlineLevel="0" collapsed="false">
      <c r="A833" s="9"/>
      <c r="B833" s="9"/>
      <c r="C833" s="9"/>
      <c r="D833" s="34"/>
      <c r="E833" s="9"/>
      <c r="F833" s="35"/>
      <c r="G833" s="35"/>
      <c r="H833" s="35"/>
      <c r="I833" s="34"/>
      <c r="J833" s="35"/>
      <c r="K833" s="35"/>
      <c r="L833" s="39" t="str">
        <f aca="false">IF(A833="","",IF(I833&lt;&gt;"","Vendu","En stock"))</f>
        <v/>
      </c>
      <c r="M833" s="17" t="str">
        <f aca="false">IF(J833="","",J833-F833-G833-K833)</f>
        <v/>
      </c>
      <c r="N833" s="40" t="str">
        <f aca="false">IF(OR(J833="",J833=0),"",M833/J833)</f>
        <v/>
      </c>
      <c r="O833" s="41" t="str">
        <f aca="true">IF(D833="","",IF(I833&lt;&gt;"",I833,TODAY())-D833)</f>
        <v/>
      </c>
    </row>
    <row r="834" customFormat="false" ht="15" hidden="false" customHeight="false" outlineLevel="0" collapsed="false">
      <c r="A834" s="9"/>
      <c r="B834" s="9"/>
      <c r="C834" s="9"/>
      <c r="D834" s="34"/>
      <c r="E834" s="9"/>
      <c r="F834" s="35"/>
      <c r="G834" s="35"/>
      <c r="H834" s="35"/>
      <c r="I834" s="34"/>
      <c r="J834" s="35"/>
      <c r="K834" s="35"/>
      <c r="L834" s="39" t="str">
        <f aca="false">IF(A834="","",IF(I834&lt;&gt;"","Vendu","En stock"))</f>
        <v/>
      </c>
      <c r="M834" s="17" t="str">
        <f aca="false">IF(J834="","",J834-F834-G834-K834)</f>
        <v/>
      </c>
      <c r="N834" s="40" t="str">
        <f aca="false">IF(OR(J834="",J834=0),"",M834/J834)</f>
        <v/>
      </c>
      <c r="O834" s="41" t="str">
        <f aca="true">IF(D834="","",IF(I834&lt;&gt;"",I834,TODAY())-D834)</f>
        <v/>
      </c>
    </row>
    <row r="835" customFormat="false" ht="15" hidden="false" customHeight="false" outlineLevel="0" collapsed="false">
      <c r="A835" s="9"/>
      <c r="B835" s="9"/>
      <c r="C835" s="9"/>
      <c r="D835" s="34"/>
      <c r="E835" s="9"/>
      <c r="F835" s="35"/>
      <c r="G835" s="35"/>
      <c r="H835" s="35"/>
      <c r="I835" s="34"/>
      <c r="J835" s="35"/>
      <c r="K835" s="35"/>
      <c r="L835" s="39" t="str">
        <f aca="false">IF(A835="","",IF(I835&lt;&gt;"","Vendu","En stock"))</f>
        <v/>
      </c>
      <c r="M835" s="17" t="str">
        <f aca="false">IF(J835="","",J835-F835-G835-K835)</f>
        <v/>
      </c>
      <c r="N835" s="40" t="str">
        <f aca="false">IF(OR(J835="",J835=0),"",M835/J835)</f>
        <v/>
      </c>
      <c r="O835" s="41" t="str">
        <f aca="true">IF(D835="","",IF(I835&lt;&gt;"",I835,TODAY())-D835)</f>
        <v/>
      </c>
    </row>
    <row r="836" customFormat="false" ht="15" hidden="false" customHeight="false" outlineLevel="0" collapsed="false">
      <c r="A836" s="9"/>
      <c r="B836" s="9"/>
      <c r="C836" s="9"/>
      <c r="D836" s="34"/>
      <c r="E836" s="9"/>
      <c r="F836" s="35"/>
      <c r="G836" s="35"/>
      <c r="H836" s="35"/>
      <c r="I836" s="34"/>
      <c r="J836" s="35"/>
      <c r="K836" s="35"/>
      <c r="L836" s="39" t="str">
        <f aca="false">IF(A836="","",IF(I836&lt;&gt;"","Vendu","En stock"))</f>
        <v/>
      </c>
      <c r="M836" s="17" t="str">
        <f aca="false">IF(J836="","",J836-F836-G836-K836)</f>
        <v/>
      </c>
      <c r="N836" s="40" t="str">
        <f aca="false">IF(OR(J836="",J836=0),"",M836/J836)</f>
        <v/>
      </c>
      <c r="O836" s="41" t="str">
        <f aca="true">IF(D836="","",IF(I836&lt;&gt;"",I836,TODAY())-D836)</f>
        <v/>
      </c>
    </row>
    <row r="837" customFormat="false" ht="15" hidden="false" customHeight="false" outlineLevel="0" collapsed="false">
      <c r="A837" s="9"/>
      <c r="B837" s="9"/>
      <c r="C837" s="9"/>
      <c r="D837" s="34"/>
      <c r="E837" s="9"/>
      <c r="F837" s="35"/>
      <c r="G837" s="35"/>
      <c r="H837" s="35"/>
      <c r="I837" s="34"/>
      <c r="J837" s="35"/>
      <c r="K837" s="35"/>
      <c r="L837" s="39" t="str">
        <f aca="false">IF(A837="","",IF(I837&lt;&gt;"","Vendu","En stock"))</f>
        <v/>
      </c>
      <c r="M837" s="17" t="str">
        <f aca="false">IF(J837="","",J837-F837-G837-K837)</f>
        <v/>
      </c>
      <c r="N837" s="40" t="str">
        <f aca="false">IF(OR(J837="",J837=0),"",M837/J837)</f>
        <v/>
      </c>
      <c r="O837" s="41" t="str">
        <f aca="true">IF(D837="","",IF(I837&lt;&gt;"",I837,TODAY())-D837)</f>
        <v/>
      </c>
    </row>
    <row r="838" customFormat="false" ht="15" hidden="false" customHeight="false" outlineLevel="0" collapsed="false">
      <c r="A838" s="9"/>
      <c r="B838" s="9"/>
      <c r="C838" s="9"/>
      <c r="D838" s="34"/>
      <c r="E838" s="9"/>
      <c r="F838" s="35"/>
      <c r="G838" s="35"/>
      <c r="H838" s="35"/>
      <c r="I838" s="34"/>
      <c r="J838" s="35"/>
      <c r="K838" s="35"/>
      <c r="L838" s="39" t="str">
        <f aca="false">IF(A838="","",IF(I838&lt;&gt;"","Vendu","En stock"))</f>
        <v/>
      </c>
      <c r="M838" s="17" t="str">
        <f aca="false">IF(J838="","",J838-F838-G838-K838)</f>
        <v/>
      </c>
      <c r="N838" s="40" t="str">
        <f aca="false">IF(OR(J838="",J838=0),"",M838/J838)</f>
        <v/>
      </c>
      <c r="O838" s="41" t="str">
        <f aca="true">IF(D838="","",IF(I838&lt;&gt;"",I838,TODAY())-D838)</f>
        <v/>
      </c>
    </row>
    <row r="839" customFormat="false" ht="15" hidden="false" customHeight="false" outlineLevel="0" collapsed="false">
      <c r="A839" s="9"/>
      <c r="B839" s="9"/>
      <c r="C839" s="9"/>
      <c r="D839" s="34"/>
      <c r="E839" s="9"/>
      <c r="F839" s="35"/>
      <c r="G839" s="35"/>
      <c r="H839" s="35"/>
      <c r="I839" s="34"/>
      <c r="J839" s="35"/>
      <c r="K839" s="35"/>
      <c r="L839" s="39" t="str">
        <f aca="false">IF(A839="","",IF(I839&lt;&gt;"","Vendu","En stock"))</f>
        <v/>
      </c>
      <c r="M839" s="17" t="str">
        <f aca="false">IF(J839="","",J839-F839-G839-K839)</f>
        <v/>
      </c>
      <c r="N839" s="40" t="str">
        <f aca="false">IF(OR(J839="",J839=0),"",M839/J839)</f>
        <v/>
      </c>
      <c r="O839" s="41" t="str">
        <f aca="true">IF(D839="","",IF(I839&lt;&gt;"",I839,TODAY())-D839)</f>
        <v/>
      </c>
    </row>
    <row r="840" customFormat="false" ht="15" hidden="false" customHeight="false" outlineLevel="0" collapsed="false">
      <c r="A840" s="9"/>
      <c r="B840" s="9"/>
      <c r="C840" s="9"/>
      <c r="D840" s="34"/>
      <c r="E840" s="9"/>
      <c r="F840" s="35"/>
      <c r="G840" s="35"/>
      <c r="H840" s="35"/>
      <c r="I840" s="34"/>
      <c r="J840" s="35"/>
      <c r="K840" s="35"/>
      <c r="L840" s="39" t="str">
        <f aca="false">IF(A840="","",IF(I840&lt;&gt;"","Vendu","En stock"))</f>
        <v/>
      </c>
      <c r="M840" s="17" t="str">
        <f aca="false">IF(J840="","",J840-F840-G840-K840)</f>
        <v/>
      </c>
      <c r="N840" s="40" t="str">
        <f aca="false">IF(OR(J840="",J840=0),"",M840/J840)</f>
        <v/>
      </c>
      <c r="O840" s="41" t="str">
        <f aca="true">IF(D840="","",IF(I840&lt;&gt;"",I840,TODAY())-D840)</f>
        <v/>
      </c>
    </row>
    <row r="841" customFormat="false" ht="15" hidden="false" customHeight="false" outlineLevel="0" collapsed="false">
      <c r="A841" s="9"/>
      <c r="B841" s="9"/>
      <c r="C841" s="9"/>
      <c r="D841" s="34"/>
      <c r="E841" s="9"/>
      <c r="F841" s="35"/>
      <c r="G841" s="35"/>
      <c r="H841" s="35"/>
      <c r="I841" s="34"/>
      <c r="J841" s="35"/>
      <c r="K841" s="35"/>
      <c r="L841" s="39" t="str">
        <f aca="false">IF(A841="","",IF(I841&lt;&gt;"","Vendu","En stock"))</f>
        <v/>
      </c>
      <c r="M841" s="17" t="str">
        <f aca="false">IF(J841="","",J841-F841-G841-K841)</f>
        <v/>
      </c>
      <c r="N841" s="40" t="str">
        <f aca="false">IF(OR(J841="",J841=0),"",M841/J841)</f>
        <v/>
      </c>
      <c r="O841" s="41" t="str">
        <f aca="true">IF(D841="","",IF(I841&lt;&gt;"",I841,TODAY())-D841)</f>
        <v/>
      </c>
    </row>
    <row r="842" customFormat="false" ht="15" hidden="false" customHeight="false" outlineLevel="0" collapsed="false">
      <c r="A842" s="9"/>
      <c r="B842" s="9"/>
      <c r="C842" s="9"/>
      <c r="D842" s="34"/>
      <c r="E842" s="9"/>
      <c r="F842" s="35"/>
      <c r="G842" s="35"/>
      <c r="H842" s="35"/>
      <c r="I842" s="34"/>
      <c r="J842" s="35"/>
      <c r="K842" s="35"/>
      <c r="L842" s="39" t="str">
        <f aca="false">IF(A842="","",IF(I842&lt;&gt;"","Vendu","En stock"))</f>
        <v/>
      </c>
      <c r="M842" s="17" t="str">
        <f aca="false">IF(J842="","",J842-F842-G842-K842)</f>
        <v/>
      </c>
      <c r="N842" s="40" t="str">
        <f aca="false">IF(OR(J842="",J842=0),"",M842/J842)</f>
        <v/>
      </c>
      <c r="O842" s="41" t="str">
        <f aca="true">IF(D842="","",IF(I842&lt;&gt;"",I842,TODAY())-D842)</f>
        <v/>
      </c>
    </row>
    <row r="843" customFormat="false" ht="15" hidden="false" customHeight="false" outlineLevel="0" collapsed="false">
      <c r="A843" s="9"/>
      <c r="B843" s="9"/>
      <c r="C843" s="9"/>
      <c r="D843" s="34"/>
      <c r="E843" s="9"/>
      <c r="F843" s="35"/>
      <c r="G843" s="35"/>
      <c r="H843" s="35"/>
      <c r="I843" s="34"/>
      <c r="J843" s="35"/>
      <c r="K843" s="35"/>
      <c r="L843" s="39" t="str">
        <f aca="false">IF(A843="","",IF(I843&lt;&gt;"","Vendu","En stock"))</f>
        <v/>
      </c>
      <c r="M843" s="17" t="str">
        <f aca="false">IF(J843="","",J843-F843-G843-K843)</f>
        <v/>
      </c>
      <c r="N843" s="40" t="str">
        <f aca="false">IF(OR(J843="",J843=0),"",M843/J843)</f>
        <v/>
      </c>
      <c r="O843" s="41" t="str">
        <f aca="true">IF(D843="","",IF(I843&lt;&gt;"",I843,TODAY())-D843)</f>
        <v/>
      </c>
    </row>
    <row r="844" customFormat="false" ht="15" hidden="false" customHeight="false" outlineLevel="0" collapsed="false">
      <c r="A844" s="9"/>
      <c r="B844" s="9"/>
      <c r="C844" s="9"/>
      <c r="D844" s="34"/>
      <c r="E844" s="9"/>
      <c r="F844" s="35"/>
      <c r="G844" s="35"/>
      <c r="H844" s="35"/>
      <c r="I844" s="34"/>
      <c r="J844" s="35"/>
      <c r="K844" s="35"/>
      <c r="L844" s="39" t="str">
        <f aca="false">IF(A844="","",IF(I844&lt;&gt;"","Vendu","En stock"))</f>
        <v/>
      </c>
      <c r="M844" s="17" t="str">
        <f aca="false">IF(J844="","",J844-F844-G844-K844)</f>
        <v/>
      </c>
      <c r="N844" s="40" t="str">
        <f aca="false">IF(OR(J844="",J844=0),"",M844/J844)</f>
        <v/>
      </c>
      <c r="O844" s="41" t="str">
        <f aca="true">IF(D844="","",IF(I844&lt;&gt;"",I844,TODAY())-D844)</f>
        <v/>
      </c>
    </row>
    <row r="845" customFormat="false" ht="15" hidden="false" customHeight="false" outlineLevel="0" collapsed="false">
      <c r="A845" s="9"/>
      <c r="B845" s="9"/>
      <c r="C845" s="9"/>
      <c r="D845" s="34"/>
      <c r="E845" s="9"/>
      <c r="F845" s="35"/>
      <c r="G845" s="35"/>
      <c r="H845" s="35"/>
      <c r="I845" s="34"/>
      <c r="J845" s="35"/>
      <c r="K845" s="35"/>
      <c r="L845" s="39" t="str">
        <f aca="false">IF(A845="","",IF(I845&lt;&gt;"","Vendu","En stock"))</f>
        <v/>
      </c>
      <c r="M845" s="17" t="str">
        <f aca="false">IF(J845="","",J845-F845-G845-K845)</f>
        <v/>
      </c>
      <c r="N845" s="40" t="str">
        <f aca="false">IF(OR(J845="",J845=0),"",M845/J845)</f>
        <v/>
      </c>
      <c r="O845" s="41" t="str">
        <f aca="true">IF(D845="","",IF(I845&lt;&gt;"",I845,TODAY())-D845)</f>
        <v/>
      </c>
    </row>
    <row r="846" customFormat="false" ht="15" hidden="false" customHeight="false" outlineLevel="0" collapsed="false">
      <c r="A846" s="9"/>
      <c r="B846" s="9"/>
      <c r="C846" s="9"/>
      <c r="D846" s="34"/>
      <c r="E846" s="9"/>
      <c r="F846" s="35"/>
      <c r="G846" s="35"/>
      <c r="H846" s="35"/>
      <c r="I846" s="34"/>
      <c r="J846" s="35"/>
      <c r="K846" s="35"/>
      <c r="L846" s="39" t="str">
        <f aca="false">IF(A846="","",IF(I846&lt;&gt;"","Vendu","En stock"))</f>
        <v/>
      </c>
      <c r="M846" s="17" t="str">
        <f aca="false">IF(J846="","",J846-F846-G846-K846)</f>
        <v/>
      </c>
      <c r="N846" s="40" t="str">
        <f aca="false">IF(OR(J846="",J846=0),"",M846/J846)</f>
        <v/>
      </c>
      <c r="O846" s="41" t="str">
        <f aca="true">IF(D846="","",IF(I846&lt;&gt;"",I846,TODAY())-D846)</f>
        <v/>
      </c>
    </row>
    <row r="847" customFormat="false" ht="15" hidden="false" customHeight="false" outlineLevel="0" collapsed="false">
      <c r="A847" s="9"/>
      <c r="B847" s="9"/>
      <c r="C847" s="9"/>
      <c r="D847" s="34"/>
      <c r="E847" s="9"/>
      <c r="F847" s="35"/>
      <c r="G847" s="35"/>
      <c r="H847" s="35"/>
      <c r="I847" s="34"/>
      <c r="J847" s="35"/>
      <c r="K847" s="35"/>
      <c r="L847" s="39" t="str">
        <f aca="false">IF(A847="","",IF(I847&lt;&gt;"","Vendu","En stock"))</f>
        <v/>
      </c>
      <c r="M847" s="17" t="str">
        <f aca="false">IF(J847="","",J847-F847-G847-K847)</f>
        <v/>
      </c>
      <c r="N847" s="40" t="str">
        <f aca="false">IF(OR(J847="",J847=0),"",M847/J847)</f>
        <v/>
      </c>
      <c r="O847" s="41" t="str">
        <f aca="true">IF(D847="","",IF(I847&lt;&gt;"",I847,TODAY())-D847)</f>
        <v/>
      </c>
    </row>
    <row r="848" customFormat="false" ht="15" hidden="false" customHeight="false" outlineLevel="0" collapsed="false">
      <c r="A848" s="9"/>
      <c r="B848" s="9"/>
      <c r="C848" s="9"/>
      <c r="D848" s="34"/>
      <c r="E848" s="9"/>
      <c r="F848" s="35"/>
      <c r="G848" s="35"/>
      <c r="H848" s="35"/>
      <c r="I848" s="34"/>
      <c r="J848" s="35"/>
      <c r="K848" s="35"/>
      <c r="L848" s="39" t="str">
        <f aca="false">IF(A848="","",IF(I848&lt;&gt;"","Vendu","En stock"))</f>
        <v/>
      </c>
      <c r="M848" s="17" t="str">
        <f aca="false">IF(J848="","",J848-F848-G848-K848)</f>
        <v/>
      </c>
      <c r="N848" s="40" t="str">
        <f aca="false">IF(OR(J848="",J848=0),"",M848/J848)</f>
        <v/>
      </c>
      <c r="O848" s="41" t="str">
        <f aca="true">IF(D848="","",IF(I848&lt;&gt;"",I848,TODAY())-D848)</f>
        <v/>
      </c>
    </row>
    <row r="849" customFormat="false" ht="15" hidden="false" customHeight="false" outlineLevel="0" collapsed="false">
      <c r="A849" s="9"/>
      <c r="B849" s="9"/>
      <c r="C849" s="9"/>
      <c r="D849" s="34"/>
      <c r="E849" s="9"/>
      <c r="F849" s="35"/>
      <c r="G849" s="35"/>
      <c r="H849" s="35"/>
      <c r="I849" s="34"/>
      <c r="J849" s="35"/>
      <c r="K849" s="35"/>
      <c r="L849" s="39" t="str">
        <f aca="false">IF(A849="","",IF(I849&lt;&gt;"","Vendu","En stock"))</f>
        <v/>
      </c>
      <c r="M849" s="17" t="str">
        <f aca="false">IF(J849="","",J849-F849-G849-K849)</f>
        <v/>
      </c>
      <c r="N849" s="40" t="str">
        <f aca="false">IF(OR(J849="",J849=0),"",M849/J849)</f>
        <v/>
      </c>
      <c r="O849" s="41" t="str">
        <f aca="true">IF(D849="","",IF(I849&lt;&gt;"",I849,TODAY())-D849)</f>
        <v/>
      </c>
    </row>
    <row r="850" customFormat="false" ht="15" hidden="false" customHeight="false" outlineLevel="0" collapsed="false">
      <c r="A850" s="9"/>
      <c r="B850" s="9"/>
      <c r="C850" s="9"/>
      <c r="D850" s="34"/>
      <c r="E850" s="9"/>
      <c r="F850" s="35"/>
      <c r="G850" s="35"/>
      <c r="H850" s="35"/>
      <c r="I850" s="34"/>
      <c r="J850" s="35"/>
      <c r="K850" s="35"/>
      <c r="L850" s="39" t="str">
        <f aca="false">IF(A850="","",IF(I850&lt;&gt;"","Vendu","En stock"))</f>
        <v/>
      </c>
      <c r="M850" s="17" t="str">
        <f aca="false">IF(J850="","",J850-F850-G850-K850)</f>
        <v/>
      </c>
      <c r="N850" s="40" t="str">
        <f aca="false">IF(OR(J850="",J850=0),"",M850/J850)</f>
        <v/>
      </c>
      <c r="O850" s="41" t="str">
        <f aca="true">IF(D850="","",IF(I850&lt;&gt;"",I850,TODAY())-D850)</f>
        <v/>
      </c>
    </row>
    <row r="851" customFormat="false" ht="15" hidden="false" customHeight="false" outlineLevel="0" collapsed="false">
      <c r="A851" s="9"/>
      <c r="B851" s="9"/>
      <c r="C851" s="9"/>
      <c r="D851" s="34"/>
      <c r="E851" s="9"/>
      <c r="F851" s="35"/>
      <c r="G851" s="35"/>
      <c r="H851" s="35"/>
      <c r="I851" s="34"/>
      <c r="J851" s="35"/>
      <c r="K851" s="35"/>
      <c r="L851" s="39" t="str">
        <f aca="false">IF(A851="","",IF(I851&lt;&gt;"","Vendu","En stock"))</f>
        <v/>
      </c>
      <c r="M851" s="17" t="str">
        <f aca="false">IF(J851="","",J851-F851-G851-K851)</f>
        <v/>
      </c>
      <c r="N851" s="40" t="str">
        <f aca="false">IF(OR(J851="",J851=0),"",M851/J851)</f>
        <v/>
      </c>
      <c r="O851" s="41" t="str">
        <f aca="true">IF(D851="","",IF(I851&lt;&gt;"",I851,TODAY())-D851)</f>
        <v/>
      </c>
    </row>
    <row r="852" customFormat="false" ht="15" hidden="false" customHeight="false" outlineLevel="0" collapsed="false">
      <c r="A852" s="9"/>
      <c r="B852" s="9"/>
      <c r="C852" s="9"/>
      <c r="D852" s="34"/>
      <c r="E852" s="9"/>
      <c r="F852" s="35"/>
      <c r="G852" s="35"/>
      <c r="H852" s="35"/>
      <c r="I852" s="34"/>
      <c r="J852" s="35"/>
      <c r="K852" s="35"/>
      <c r="L852" s="39" t="str">
        <f aca="false">IF(A852="","",IF(I852&lt;&gt;"","Vendu","En stock"))</f>
        <v/>
      </c>
      <c r="M852" s="17" t="str">
        <f aca="false">IF(J852="","",J852-F852-G852-K852)</f>
        <v/>
      </c>
      <c r="N852" s="40" t="str">
        <f aca="false">IF(OR(J852="",J852=0),"",M852/J852)</f>
        <v/>
      </c>
      <c r="O852" s="41" t="str">
        <f aca="true">IF(D852="","",IF(I852&lt;&gt;"",I852,TODAY())-D852)</f>
        <v/>
      </c>
    </row>
    <row r="853" customFormat="false" ht="15" hidden="false" customHeight="false" outlineLevel="0" collapsed="false">
      <c r="A853" s="9"/>
      <c r="B853" s="9"/>
      <c r="C853" s="9"/>
      <c r="D853" s="34"/>
      <c r="E853" s="9"/>
      <c r="F853" s="35"/>
      <c r="G853" s="35"/>
      <c r="H853" s="35"/>
      <c r="I853" s="34"/>
      <c r="J853" s="35"/>
      <c r="K853" s="35"/>
      <c r="L853" s="39" t="str">
        <f aca="false">IF(A853="","",IF(I853&lt;&gt;"","Vendu","En stock"))</f>
        <v/>
      </c>
      <c r="M853" s="17" t="str">
        <f aca="false">IF(J853="","",J853-F853-G853-K853)</f>
        <v/>
      </c>
      <c r="N853" s="40" t="str">
        <f aca="false">IF(OR(J853="",J853=0),"",M853/J853)</f>
        <v/>
      </c>
      <c r="O853" s="41" t="str">
        <f aca="true">IF(D853="","",IF(I853&lt;&gt;"",I853,TODAY())-D853)</f>
        <v/>
      </c>
    </row>
    <row r="854" customFormat="false" ht="15" hidden="false" customHeight="false" outlineLevel="0" collapsed="false">
      <c r="A854" s="9"/>
      <c r="B854" s="9"/>
      <c r="C854" s="9"/>
      <c r="D854" s="34"/>
      <c r="E854" s="9"/>
      <c r="F854" s="35"/>
      <c r="G854" s="35"/>
      <c r="H854" s="35"/>
      <c r="I854" s="34"/>
      <c r="J854" s="35"/>
      <c r="K854" s="35"/>
      <c r="L854" s="39" t="str">
        <f aca="false">IF(A854="","",IF(I854&lt;&gt;"","Vendu","En stock"))</f>
        <v/>
      </c>
      <c r="M854" s="17" t="str">
        <f aca="false">IF(J854="","",J854-F854-G854-K854)</f>
        <v/>
      </c>
      <c r="N854" s="40" t="str">
        <f aca="false">IF(OR(J854="",J854=0),"",M854/J854)</f>
        <v/>
      </c>
      <c r="O854" s="41" t="str">
        <f aca="true">IF(D854="","",IF(I854&lt;&gt;"",I854,TODAY())-D854)</f>
        <v/>
      </c>
    </row>
    <row r="855" customFormat="false" ht="15" hidden="false" customHeight="false" outlineLevel="0" collapsed="false">
      <c r="A855" s="9"/>
      <c r="B855" s="9"/>
      <c r="C855" s="9"/>
      <c r="D855" s="34"/>
      <c r="E855" s="9"/>
      <c r="F855" s="35"/>
      <c r="G855" s="35"/>
      <c r="H855" s="35"/>
      <c r="I855" s="34"/>
      <c r="J855" s="35"/>
      <c r="K855" s="35"/>
      <c r="L855" s="39" t="str">
        <f aca="false">IF(A855="","",IF(I855&lt;&gt;"","Vendu","En stock"))</f>
        <v/>
      </c>
      <c r="M855" s="17" t="str">
        <f aca="false">IF(J855="","",J855-F855-G855-K855)</f>
        <v/>
      </c>
      <c r="N855" s="40" t="str">
        <f aca="false">IF(OR(J855="",J855=0),"",M855/J855)</f>
        <v/>
      </c>
      <c r="O855" s="41" t="str">
        <f aca="true">IF(D855="","",IF(I855&lt;&gt;"",I855,TODAY())-D855)</f>
        <v/>
      </c>
    </row>
    <row r="856" customFormat="false" ht="15" hidden="false" customHeight="false" outlineLevel="0" collapsed="false">
      <c r="A856" s="9"/>
      <c r="B856" s="9"/>
      <c r="C856" s="9"/>
      <c r="D856" s="34"/>
      <c r="E856" s="9"/>
      <c r="F856" s="35"/>
      <c r="G856" s="35"/>
      <c r="H856" s="35"/>
      <c r="I856" s="34"/>
      <c r="J856" s="35"/>
      <c r="K856" s="35"/>
      <c r="L856" s="39" t="str">
        <f aca="false">IF(A856="","",IF(I856&lt;&gt;"","Vendu","En stock"))</f>
        <v/>
      </c>
      <c r="M856" s="17" t="str">
        <f aca="false">IF(J856="","",J856-F856-G856-K856)</f>
        <v/>
      </c>
      <c r="N856" s="40" t="str">
        <f aca="false">IF(OR(J856="",J856=0),"",M856/J856)</f>
        <v/>
      </c>
      <c r="O856" s="41" t="str">
        <f aca="true">IF(D856="","",IF(I856&lt;&gt;"",I856,TODAY())-D856)</f>
        <v/>
      </c>
    </row>
    <row r="857" customFormat="false" ht="15" hidden="false" customHeight="false" outlineLevel="0" collapsed="false">
      <c r="A857" s="9"/>
      <c r="B857" s="9"/>
      <c r="C857" s="9"/>
      <c r="D857" s="34"/>
      <c r="E857" s="9"/>
      <c r="F857" s="35"/>
      <c r="G857" s="35"/>
      <c r="H857" s="35"/>
      <c r="I857" s="34"/>
      <c r="J857" s="35"/>
      <c r="K857" s="35"/>
      <c r="L857" s="39" t="str">
        <f aca="false">IF(A857="","",IF(I857&lt;&gt;"","Vendu","En stock"))</f>
        <v/>
      </c>
      <c r="M857" s="17" t="str">
        <f aca="false">IF(J857="","",J857-F857-G857-K857)</f>
        <v/>
      </c>
      <c r="N857" s="40" t="str">
        <f aca="false">IF(OR(J857="",J857=0),"",M857/J857)</f>
        <v/>
      </c>
      <c r="O857" s="41" t="str">
        <f aca="true">IF(D857="","",IF(I857&lt;&gt;"",I857,TODAY())-D857)</f>
        <v/>
      </c>
    </row>
    <row r="858" customFormat="false" ht="15" hidden="false" customHeight="false" outlineLevel="0" collapsed="false">
      <c r="A858" s="9"/>
      <c r="B858" s="9"/>
      <c r="C858" s="9"/>
      <c r="D858" s="34"/>
      <c r="E858" s="9"/>
      <c r="F858" s="35"/>
      <c r="G858" s="35"/>
      <c r="H858" s="35"/>
      <c r="I858" s="34"/>
      <c r="J858" s="35"/>
      <c r="K858" s="35"/>
      <c r="L858" s="39" t="str">
        <f aca="false">IF(A858="","",IF(I858&lt;&gt;"","Vendu","En stock"))</f>
        <v/>
      </c>
      <c r="M858" s="17" t="str">
        <f aca="false">IF(J858="","",J858-F858-G858-K858)</f>
        <v/>
      </c>
      <c r="N858" s="40" t="str">
        <f aca="false">IF(OR(J858="",J858=0),"",M858/J858)</f>
        <v/>
      </c>
      <c r="O858" s="41" t="str">
        <f aca="true">IF(D858="","",IF(I858&lt;&gt;"",I858,TODAY())-D858)</f>
        <v/>
      </c>
    </row>
    <row r="859" customFormat="false" ht="15" hidden="false" customHeight="false" outlineLevel="0" collapsed="false">
      <c r="A859" s="9"/>
      <c r="B859" s="9"/>
      <c r="C859" s="9"/>
      <c r="D859" s="34"/>
      <c r="E859" s="9"/>
      <c r="F859" s="35"/>
      <c r="G859" s="35"/>
      <c r="H859" s="35"/>
      <c r="I859" s="34"/>
      <c r="J859" s="35"/>
      <c r="K859" s="35"/>
      <c r="L859" s="39" t="str">
        <f aca="false">IF(A859="","",IF(I859&lt;&gt;"","Vendu","En stock"))</f>
        <v/>
      </c>
      <c r="M859" s="17" t="str">
        <f aca="false">IF(J859="","",J859-F859-G859-K859)</f>
        <v/>
      </c>
      <c r="N859" s="40" t="str">
        <f aca="false">IF(OR(J859="",J859=0),"",M859/J859)</f>
        <v/>
      </c>
      <c r="O859" s="41" t="str">
        <f aca="true">IF(D859="","",IF(I859&lt;&gt;"",I859,TODAY())-D859)</f>
        <v/>
      </c>
    </row>
    <row r="860" customFormat="false" ht="15" hidden="false" customHeight="false" outlineLevel="0" collapsed="false">
      <c r="A860" s="9"/>
      <c r="B860" s="9"/>
      <c r="C860" s="9"/>
      <c r="D860" s="34"/>
      <c r="E860" s="9"/>
      <c r="F860" s="35"/>
      <c r="G860" s="35"/>
      <c r="H860" s="35"/>
      <c r="I860" s="34"/>
      <c r="J860" s="35"/>
      <c r="K860" s="35"/>
      <c r="L860" s="39" t="str">
        <f aca="false">IF(A860="","",IF(I860&lt;&gt;"","Vendu","En stock"))</f>
        <v/>
      </c>
      <c r="M860" s="17" t="str">
        <f aca="false">IF(J860="","",J860-F860-G860-K860)</f>
        <v/>
      </c>
      <c r="N860" s="40" t="str">
        <f aca="false">IF(OR(J860="",J860=0),"",M860/J860)</f>
        <v/>
      </c>
      <c r="O860" s="41" t="str">
        <f aca="true">IF(D860="","",IF(I860&lt;&gt;"",I860,TODAY())-D860)</f>
        <v/>
      </c>
    </row>
    <row r="861" customFormat="false" ht="15" hidden="false" customHeight="false" outlineLevel="0" collapsed="false">
      <c r="A861" s="9"/>
      <c r="B861" s="9"/>
      <c r="C861" s="9"/>
      <c r="D861" s="34"/>
      <c r="E861" s="9"/>
      <c r="F861" s="35"/>
      <c r="G861" s="35"/>
      <c r="H861" s="35"/>
      <c r="I861" s="34"/>
      <c r="J861" s="35"/>
      <c r="K861" s="35"/>
      <c r="L861" s="39" t="str">
        <f aca="false">IF(A861="","",IF(I861&lt;&gt;"","Vendu","En stock"))</f>
        <v/>
      </c>
      <c r="M861" s="17" t="str">
        <f aca="false">IF(J861="","",J861-F861-G861-K861)</f>
        <v/>
      </c>
      <c r="N861" s="40" t="str">
        <f aca="false">IF(OR(J861="",J861=0),"",M861/J861)</f>
        <v/>
      </c>
      <c r="O861" s="41" t="str">
        <f aca="true">IF(D861="","",IF(I861&lt;&gt;"",I861,TODAY())-D861)</f>
        <v/>
      </c>
    </row>
    <row r="862" customFormat="false" ht="15" hidden="false" customHeight="false" outlineLevel="0" collapsed="false">
      <c r="A862" s="9"/>
      <c r="B862" s="9"/>
      <c r="C862" s="9"/>
      <c r="D862" s="34"/>
      <c r="E862" s="9"/>
      <c r="F862" s="35"/>
      <c r="G862" s="35"/>
      <c r="H862" s="35"/>
      <c r="I862" s="34"/>
      <c r="J862" s="35"/>
      <c r="K862" s="35"/>
      <c r="L862" s="39" t="str">
        <f aca="false">IF(A862="","",IF(I862&lt;&gt;"","Vendu","En stock"))</f>
        <v/>
      </c>
      <c r="M862" s="17" t="str">
        <f aca="false">IF(J862="","",J862-F862-G862-K862)</f>
        <v/>
      </c>
      <c r="N862" s="40" t="str">
        <f aca="false">IF(OR(J862="",J862=0),"",M862/J862)</f>
        <v/>
      </c>
      <c r="O862" s="41" t="str">
        <f aca="true">IF(D862="","",IF(I862&lt;&gt;"",I862,TODAY())-D862)</f>
        <v/>
      </c>
    </row>
    <row r="863" customFormat="false" ht="15" hidden="false" customHeight="false" outlineLevel="0" collapsed="false">
      <c r="A863" s="9"/>
      <c r="B863" s="9"/>
      <c r="C863" s="9"/>
      <c r="D863" s="34"/>
      <c r="E863" s="9"/>
      <c r="F863" s="35"/>
      <c r="G863" s="35"/>
      <c r="H863" s="35"/>
      <c r="I863" s="34"/>
      <c r="J863" s="35"/>
      <c r="K863" s="35"/>
      <c r="L863" s="39" t="str">
        <f aca="false">IF(A863="","",IF(I863&lt;&gt;"","Vendu","En stock"))</f>
        <v/>
      </c>
      <c r="M863" s="17" t="str">
        <f aca="false">IF(J863="","",J863-F863-G863-K863)</f>
        <v/>
      </c>
      <c r="N863" s="40" t="str">
        <f aca="false">IF(OR(J863="",J863=0),"",M863/J863)</f>
        <v/>
      </c>
      <c r="O863" s="41" t="str">
        <f aca="true">IF(D863="","",IF(I863&lt;&gt;"",I863,TODAY())-D863)</f>
        <v/>
      </c>
    </row>
    <row r="864" customFormat="false" ht="15" hidden="false" customHeight="false" outlineLevel="0" collapsed="false">
      <c r="A864" s="9"/>
      <c r="B864" s="9"/>
      <c r="C864" s="9"/>
      <c r="D864" s="34"/>
      <c r="E864" s="9"/>
      <c r="F864" s="35"/>
      <c r="G864" s="35"/>
      <c r="H864" s="35"/>
      <c r="I864" s="34"/>
      <c r="J864" s="35"/>
      <c r="K864" s="35"/>
      <c r="L864" s="39" t="str">
        <f aca="false">IF(A864="","",IF(I864&lt;&gt;"","Vendu","En stock"))</f>
        <v/>
      </c>
      <c r="M864" s="17" t="str">
        <f aca="false">IF(J864="","",J864-F864-G864-K864)</f>
        <v/>
      </c>
      <c r="N864" s="40" t="str">
        <f aca="false">IF(OR(J864="",J864=0),"",M864/J864)</f>
        <v/>
      </c>
      <c r="O864" s="41" t="str">
        <f aca="true">IF(D864="","",IF(I864&lt;&gt;"",I864,TODAY())-D864)</f>
        <v/>
      </c>
    </row>
    <row r="865" customFormat="false" ht="15" hidden="false" customHeight="false" outlineLevel="0" collapsed="false">
      <c r="A865" s="9"/>
      <c r="B865" s="9"/>
      <c r="C865" s="9"/>
      <c r="D865" s="34"/>
      <c r="E865" s="9"/>
      <c r="F865" s="35"/>
      <c r="G865" s="35"/>
      <c r="H865" s="35"/>
      <c r="I865" s="34"/>
      <c r="J865" s="35"/>
      <c r="K865" s="35"/>
      <c r="L865" s="39" t="str">
        <f aca="false">IF(A865="","",IF(I865&lt;&gt;"","Vendu","En stock"))</f>
        <v/>
      </c>
      <c r="M865" s="17" t="str">
        <f aca="false">IF(J865="","",J865-F865-G865-K865)</f>
        <v/>
      </c>
      <c r="N865" s="40" t="str">
        <f aca="false">IF(OR(J865="",J865=0),"",M865/J865)</f>
        <v/>
      </c>
      <c r="O865" s="41" t="str">
        <f aca="true">IF(D865="","",IF(I865&lt;&gt;"",I865,TODAY())-D865)</f>
        <v/>
      </c>
    </row>
    <row r="866" customFormat="false" ht="15" hidden="false" customHeight="false" outlineLevel="0" collapsed="false">
      <c r="A866" s="9"/>
      <c r="B866" s="9"/>
      <c r="C866" s="9"/>
      <c r="D866" s="34"/>
      <c r="E866" s="9"/>
      <c r="F866" s="35"/>
      <c r="G866" s="35"/>
      <c r="H866" s="35"/>
      <c r="I866" s="34"/>
      <c r="J866" s="35"/>
      <c r="K866" s="35"/>
      <c r="L866" s="39" t="str">
        <f aca="false">IF(A866="","",IF(I866&lt;&gt;"","Vendu","En stock"))</f>
        <v/>
      </c>
      <c r="M866" s="17" t="str">
        <f aca="false">IF(J866="","",J866-F866-G866-K866)</f>
        <v/>
      </c>
      <c r="N866" s="40" t="str">
        <f aca="false">IF(OR(J866="",J866=0),"",M866/J866)</f>
        <v/>
      </c>
      <c r="O866" s="41" t="str">
        <f aca="true">IF(D866="","",IF(I866&lt;&gt;"",I866,TODAY())-D866)</f>
        <v/>
      </c>
    </row>
    <row r="867" customFormat="false" ht="15" hidden="false" customHeight="false" outlineLevel="0" collapsed="false">
      <c r="A867" s="9"/>
      <c r="B867" s="9"/>
      <c r="C867" s="9"/>
      <c r="D867" s="34"/>
      <c r="E867" s="9"/>
      <c r="F867" s="35"/>
      <c r="G867" s="35"/>
      <c r="H867" s="35"/>
      <c r="I867" s="34"/>
      <c r="J867" s="35"/>
      <c r="K867" s="35"/>
      <c r="L867" s="39" t="str">
        <f aca="false">IF(A867="","",IF(I867&lt;&gt;"","Vendu","En stock"))</f>
        <v/>
      </c>
      <c r="M867" s="17" t="str">
        <f aca="false">IF(J867="","",J867-F867-G867-K867)</f>
        <v/>
      </c>
      <c r="N867" s="40" t="str">
        <f aca="false">IF(OR(J867="",J867=0),"",M867/J867)</f>
        <v/>
      </c>
      <c r="O867" s="41" t="str">
        <f aca="true">IF(D867="","",IF(I867&lt;&gt;"",I867,TODAY())-D867)</f>
        <v/>
      </c>
    </row>
    <row r="868" customFormat="false" ht="15" hidden="false" customHeight="false" outlineLevel="0" collapsed="false">
      <c r="A868" s="9"/>
      <c r="B868" s="9"/>
      <c r="C868" s="9"/>
      <c r="D868" s="34"/>
      <c r="E868" s="9"/>
      <c r="F868" s="35"/>
      <c r="G868" s="35"/>
      <c r="H868" s="35"/>
      <c r="I868" s="34"/>
      <c r="J868" s="35"/>
      <c r="K868" s="35"/>
      <c r="L868" s="39" t="str">
        <f aca="false">IF(A868="","",IF(I868&lt;&gt;"","Vendu","En stock"))</f>
        <v/>
      </c>
      <c r="M868" s="17" t="str">
        <f aca="false">IF(J868="","",J868-F868-G868-K868)</f>
        <v/>
      </c>
      <c r="N868" s="40" t="str">
        <f aca="false">IF(OR(J868="",J868=0),"",M868/J868)</f>
        <v/>
      </c>
      <c r="O868" s="41" t="str">
        <f aca="true">IF(D868="","",IF(I868&lt;&gt;"",I868,TODAY())-D868)</f>
        <v/>
      </c>
    </row>
    <row r="869" customFormat="false" ht="15" hidden="false" customHeight="false" outlineLevel="0" collapsed="false">
      <c r="A869" s="9"/>
      <c r="B869" s="9"/>
      <c r="C869" s="9"/>
      <c r="D869" s="34"/>
      <c r="E869" s="9"/>
      <c r="F869" s="35"/>
      <c r="G869" s="35"/>
      <c r="H869" s="35"/>
      <c r="I869" s="34"/>
      <c r="J869" s="35"/>
      <c r="K869" s="35"/>
      <c r="L869" s="39" t="str">
        <f aca="false">IF(A869="","",IF(I869&lt;&gt;"","Vendu","En stock"))</f>
        <v/>
      </c>
      <c r="M869" s="17" t="str">
        <f aca="false">IF(J869="","",J869-F869-G869-K869)</f>
        <v/>
      </c>
      <c r="N869" s="40" t="str">
        <f aca="false">IF(OR(J869="",J869=0),"",M869/J869)</f>
        <v/>
      </c>
      <c r="O869" s="41" t="str">
        <f aca="true">IF(D869="","",IF(I869&lt;&gt;"",I869,TODAY())-D869)</f>
        <v/>
      </c>
    </row>
    <row r="870" customFormat="false" ht="15" hidden="false" customHeight="false" outlineLevel="0" collapsed="false">
      <c r="A870" s="9"/>
      <c r="B870" s="9"/>
      <c r="C870" s="9"/>
      <c r="D870" s="34"/>
      <c r="E870" s="9"/>
      <c r="F870" s="35"/>
      <c r="G870" s="35"/>
      <c r="H870" s="35"/>
      <c r="I870" s="34"/>
      <c r="J870" s="35"/>
      <c r="K870" s="35"/>
      <c r="L870" s="39" t="str">
        <f aca="false">IF(A870="","",IF(I870&lt;&gt;"","Vendu","En stock"))</f>
        <v/>
      </c>
      <c r="M870" s="17" t="str">
        <f aca="false">IF(J870="","",J870-F870-G870-K870)</f>
        <v/>
      </c>
      <c r="N870" s="40" t="str">
        <f aca="false">IF(OR(J870="",J870=0),"",M870/J870)</f>
        <v/>
      </c>
      <c r="O870" s="41" t="str">
        <f aca="true">IF(D870="","",IF(I870&lt;&gt;"",I870,TODAY())-D870)</f>
        <v/>
      </c>
    </row>
    <row r="871" customFormat="false" ht="15" hidden="false" customHeight="false" outlineLevel="0" collapsed="false">
      <c r="A871" s="9"/>
      <c r="B871" s="9"/>
      <c r="C871" s="9"/>
      <c r="D871" s="34"/>
      <c r="E871" s="9"/>
      <c r="F871" s="35"/>
      <c r="G871" s="35"/>
      <c r="H871" s="35"/>
      <c r="I871" s="34"/>
      <c r="J871" s="35"/>
      <c r="K871" s="35"/>
      <c r="L871" s="39" t="str">
        <f aca="false">IF(A871="","",IF(I871&lt;&gt;"","Vendu","En stock"))</f>
        <v/>
      </c>
      <c r="M871" s="17" t="str">
        <f aca="false">IF(J871="","",J871-F871-G871-K871)</f>
        <v/>
      </c>
      <c r="N871" s="40" t="str">
        <f aca="false">IF(OR(J871="",J871=0),"",M871/J871)</f>
        <v/>
      </c>
      <c r="O871" s="41" t="str">
        <f aca="true">IF(D871="","",IF(I871&lt;&gt;"",I871,TODAY())-D871)</f>
        <v/>
      </c>
    </row>
    <row r="872" customFormat="false" ht="15" hidden="false" customHeight="false" outlineLevel="0" collapsed="false">
      <c r="A872" s="9"/>
      <c r="B872" s="9"/>
      <c r="C872" s="9"/>
      <c r="D872" s="34"/>
      <c r="E872" s="9"/>
      <c r="F872" s="35"/>
      <c r="G872" s="35"/>
      <c r="H872" s="35"/>
      <c r="I872" s="34"/>
      <c r="J872" s="35"/>
      <c r="K872" s="35"/>
      <c r="L872" s="39" t="str">
        <f aca="false">IF(A872="","",IF(I872&lt;&gt;"","Vendu","En stock"))</f>
        <v/>
      </c>
      <c r="M872" s="17" t="str">
        <f aca="false">IF(J872="","",J872-F872-G872-K872)</f>
        <v/>
      </c>
      <c r="N872" s="40" t="str">
        <f aca="false">IF(OR(J872="",J872=0),"",M872/J872)</f>
        <v/>
      </c>
      <c r="O872" s="41" t="str">
        <f aca="true">IF(D872="","",IF(I872&lt;&gt;"",I872,TODAY())-D872)</f>
        <v/>
      </c>
    </row>
    <row r="873" customFormat="false" ht="15" hidden="false" customHeight="false" outlineLevel="0" collapsed="false">
      <c r="A873" s="9"/>
      <c r="B873" s="9"/>
      <c r="C873" s="9"/>
      <c r="D873" s="34"/>
      <c r="E873" s="9"/>
      <c r="F873" s="35"/>
      <c r="G873" s="35"/>
      <c r="H873" s="35"/>
      <c r="I873" s="34"/>
      <c r="J873" s="35"/>
      <c r="K873" s="35"/>
      <c r="L873" s="39" t="str">
        <f aca="false">IF(A873="","",IF(I873&lt;&gt;"","Vendu","En stock"))</f>
        <v/>
      </c>
      <c r="M873" s="17" t="str">
        <f aca="false">IF(J873="","",J873-F873-G873-K873)</f>
        <v/>
      </c>
      <c r="N873" s="40" t="str">
        <f aca="false">IF(OR(J873="",J873=0),"",M873/J873)</f>
        <v/>
      </c>
      <c r="O873" s="41" t="str">
        <f aca="true">IF(D873="","",IF(I873&lt;&gt;"",I873,TODAY())-D873)</f>
        <v/>
      </c>
    </row>
    <row r="874" customFormat="false" ht="15" hidden="false" customHeight="false" outlineLevel="0" collapsed="false">
      <c r="A874" s="9"/>
      <c r="B874" s="9"/>
      <c r="C874" s="9"/>
      <c r="D874" s="34"/>
      <c r="E874" s="9"/>
      <c r="F874" s="35"/>
      <c r="G874" s="35"/>
      <c r="H874" s="35"/>
      <c r="I874" s="34"/>
      <c r="J874" s="35"/>
      <c r="K874" s="35"/>
      <c r="L874" s="39" t="str">
        <f aca="false">IF(A874="","",IF(I874&lt;&gt;"","Vendu","En stock"))</f>
        <v/>
      </c>
      <c r="M874" s="17" t="str">
        <f aca="false">IF(J874="","",J874-F874-G874-K874)</f>
        <v/>
      </c>
      <c r="N874" s="40" t="str">
        <f aca="false">IF(OR(J874="",J874=0),"",M874/J874)</f>
        <v/>
      </c>
      <c r="O874" s="41" t="str">
        <f aca="true">IF(D874="","",IF(I874&lt;&gt;"",I874,TODAY())-D874)</f>
        <v/>
      </c>
    </row>
    <row r="875" customFormat="false" ht="15" hidden="false" customHeight="false" outlineLevel="0" collapsed="false">
      <c r="A875" s="9"/>
      <c r="B875" s="9"/>
      <c r="C875" s="9"/>
      <c r="D875" s="34"/>
      <c r="E875" s="9"/>
      <c r="F875" s="35"/>
      <c r="G875" s="35"/>
      <c r="H875" s="35"/>
      <c r="I875" s="34"/>
      <c r="J875" s="35"/>
      <c r="K875" s="35"/>
      <c r="L875" s="39" t="str">
        <f aca="false">IF(A875="","",IF(I875&lt;&gt;"","Vendu","En stock"))</f>
        <v/>
      </c>
      <c r="M875" s="17" t="str">
        <f aca="false">IF(J875="","",J875-F875-G875-K875)</f>
        <v/>
      </c>
      <c r="N875" s="40" t="str">
        <f aca="false">IF(OR(J875="",J875=0),"",M875/J875)</f>
        <v/>
      </c>
      <c r="O875" s="41" t="str">
        <f aca="true">IF(D875="","",IF(I875&lt;&gt;"",I875,TODAY())-D875)</f>
        <v/>
      </c>
    </row>
    <row r="876" customFormat="false" ht="15" hidden="false" customHeight="false" outlineLevel="0" collapsed="false">
      <c r="A876" s="9"/>
      <c r="B876" s="9"/>
      <c r="C876" s="9"/>
      <c r="D876" s="34"/>
      <c r="E876" s="9"/>
      <c r="F876" s="35"/>
      <c r="G876" s="35"/>
      <c r="H876" s="35"/>
      <c r="I876" s="34"/>
      <c r="J876" s="35"/>
      <c r="K876" s="35"/>
      <c r="L876" s="39" t="str">
        <f aca="false">IF(A876="","",IF(I876&lt;&gt;"","Vendu","En stock"))</f>
        <v/>
      </c>
      <c r="M876" s="17" t="str">
        <f aca="false">IF(J876="","",J876-F876-G876-K876)</f>
        <v/>
      </c>
      <c r="N876" s="40" t="str">
        <f aca="false">IF(OR(J876="",J876=0),"",M876/J876)</f>
        <v/>
      </c>
      <c r="O876" s="41" t="str">
        <f aca="true">IF(D876="","",IF(I876&lt;&gt;"",I876,TODAY())-D876)</f>
        <v/>
      </c>
    </row>
    <row r="877" customFormat="false" ht="15" hidden="false" customHeight="false" outlineLevel="0" collapsed="false">
      <c r="A877" s="9"/>
      <c r="B877" s="9"/>
      <c r="C877" s="9"/>
      <c r="D877" s="34"/>
      <c r="E877" s="9"/>
      <c r="F877" s="35"/>
      <c r="G877" s="35"/>
      <c r="H877" s="35"/>
      <c r="I877" s="34"/>
      <c r="J877" s="35"/>
      <c r="K877" s="35"/>
      <c r="L877" s="39" t="str">
        <f aca="false">IF(A877="","",IF(I877&lt;&gt;"","Vendu","En stock"))</f>
        <v/>
      </c>
      <c r="M877" s="17" t="str">
        <f aca="false">IF(J877="","",J877-F877-G877-K877)</f>
        <v/>
      </c>
      <c r="N877" s="40" t="str">
        <f aca="false">IF(OR(J877="",J877=0),"",M877/J877)</f>
        <v/>
      </c>
      <c r="O877" s="41" t="str">
        <f aca="true">IF(D877="","",IF(I877&lt;&gt;"",I877,TODAY())-D877)</f>
        <v/>
      </c>
    </row>
    <row r="878" customFormat="false" ht="15" hidden="false" customHeight="false" outlineLevel="0" collapsed="false">
      <c r="A878" s="9"/>
      <c r="B878" s="9"/>
      <c r="C878" s="9"/>
      <c r="D878" s="34"/>
      <c r="E878" s="9"/>
      <c r="F878" s="35"/>
      <c r="G878" s="35"/>
      <c r="H878" s="35"/>
      <c r="I878" s="34"/>
      <c r="J878" s="35"/>
      <c r="K878" s="35"/>
      <c r="L878" s="39" t="str">
        <f aca="false">IF(A878="","",IF(I878&lt;&gt;"","Vendu","En stock"))</f>
        <v/>
      </c>
      <c r="M878" s="17" t="str">
        <f aca="false">IF(J878="","",J878-F878-G878-K878)</f>
        <v/>
      </c>
      <c r="N878" s="40" t="str">
        <f aca="false">IF(OR(J878="",J878=0),"",M878/J878)</f>
        <v/>
      </c>
      <c r="O878" s="41" t="str">
        <f aca="true">IF(D878="","",IF(I878&lt;&gt;"",I878,TODAY())-D878)</f>
        <v/>
      </c>
    </row>
    <row r="879" customFormat="false" ht="15" hidden="false" customHeight="false" outlineLevel="0" collapsed="false">
      <c r="A879" s="9"/>
      <c r="B879" s="9"/>
      <c r="C879" s="9"/>
      <c r="D879" s="34"/>
      <c r="E879" s="9"/>
      <c r="F879" s="35"/>
      <c r="G879" s="35"/>
      <c r="H879" s="35"/>
      <c r="I879" s="34"/>
      <c r="J879" s="35"/>
      <c r="K879" s="35"/>
      <c r="L879" s="39" t="str">
        <f aca="false">IF(A879="","",IF(I879&lt;&gt;"","Vendu","En stock"))</f>
        <v/>
      </c>
      <c r="M879" s="17" t="str">
        <f aca="false">IF(J879="","",J879-F879-G879-K879)</f>
        <v/>
      </c>
      <c r="N879" s="40" t="str">
        <f aca="false">IF(OR(J879="",J879=0),"",M879/J879)</f>
        <v/>
      </c>
      <c r="O879" s="41" t="str">
        <f aca="true">IF(D879="","",IF(I879&lt;&gt;"",I879,TODAY())-D879)</f>
        <v/>
      </c>
    </row>
    <row r="880" customFormat="false" ht="15" hidden="false" customHeight="false" outlineLevel="0" collapsed="false">
      <c r="A880" s="9"/>
      <c r="B880" s="9"/>
      <c r="C880" s="9"/>
      <c r="D880" s="34"/>
      <c r="E880" s="9"/>
      <c r="F880" s="35"/>
      <c r="G880" s="35"/>
      <c r="H880" s="35"/>
      <c r="I880" s="34"/>
      <c r="J880" s="35"/>
      <c r="K880" s="35"/>
      <c r="L880" s="39" t="str">
        <f aca="false">IF(A880="","",IF(I880&lt;&gt;"","Vendu","En stock"))</f>
        <v/>
      </c>
      <c r="M880" s="17" t="str">
        <f aca="false">IF(J880="","",J880-F880-G880-K880)</f>
        <v/>
      </c>
      <c r="N880" s="40" t="str">
        <f aca="false">IF(OR(J880="",J880=0),"",M880/J880)</f>
        <v/>
      </c>
      <c r="O880" s="41" t="str">
        <f aca="true">IF(D880="","",IF(I880&lt;&gt;"",I880,TODAY())-D880)</f>
        <v/>
      </c>
    </row>
    <row r="881" customFormat="false" ht="15" hidden="false" customHeight="false" outlineLevel="0" collapsed="false">
      <c r="A881" s="9"/>
      <c r="B881" s="9"/>
      <c r="C881" s="9"/>
      <c r="D881" s="34"/>
      <c r="E881" s="9"/>
      <c r="F881" s="35"/>
      <c r="G881" s="35"/>
      <c r="H881" s="35"/>
      <c r="I881" s="34"/>
      <c r="J881" s="35"/>
      <c r="K881" s="35"/>
      <c r="L881" s="39" t="str">
        <f aca="false">IF(A881="","",IF(I881&lt;&gt;"","Vendu","En stock"))</f>
        <v/>
      </c>
      <c r="M881" s="17" t="str">
        <f aca="false">IF(J881="","",J881-F881-G881-K881)</f>
        <v/>
      </c>
      <c r="N881" s="40" t="str">
        <f aca="false">IF(OR(J881="",J881=0),"",M881/J881)</f>
        <v/>
      </c>
      <c r="O881" s="41" t="str">
        <f aca="true">IF(D881="","",IF(I881&lt;&gt;"",I881,TODAY())-D881)</f>
        <v/>
      </c>
    </row>
    <row r="882" customFormat="false" ht="15" hidden="false" customHeight="false" outlineLevel="0" collapsed="false">
      <c r="A882" s="9"/>
      <c r="B882" s="9"/>
      <c r="C882" s="9"/>
      <c r="D882" s="34"/>
      <c r="E882" s="9"/>
      <c r="F882" s="35"/>
      <c r="G882" s="35"/>
      <c r="H882" s="35"/>
      <c r="I882" s="34"/>
      <c r="J882" s="35"/>
      <c r="K882" s="35"/>
      <c r="L882" s="39" t="str">
        <f aca="false">IF(A882="","",IF(I882&lt;&gt;"","Vendu","En stock"))</f>
        <v/>
      </c>
      <c r="M882" s="17" t="str">
        <f aca="false">IF(J882="","",J882-F882-G882-K882)</f>
        <v/>
      </c>
      <c r="N882" s="40" t="str">
        <f aca="false">IF(OR(J882="",J882=0),"",M882/J882)</f>
        <v/>
      </c>
      <c r="O882" s="41" t="str">
        <f aca="true">IF(D882="","",IF(I882&lt;&gt;"",I882,TODAY())-D882)</f>
        <v/>
      </c>
    </row>
    <row r="883" customFormat="false" ht="15" hidden="false" customHeight="false" outlineLevel="0" collapsed="false">
      <c r="A883" s="9"/>
      <c r="B883" s="9"/>
      <c r="C883" s="9"/>
      <c r="D883" s="34"/>
      <c r="E883" s="9"/>
      <c r="F883" s="35"/>
      <c r="G883" s="35"/>
      <c r="H883" s="35"/>
      <c r="I883" s="34"/>
      <c r="J883" s="35"/>
      <c r="K883" s="35"/>
      <c r="L883" s="39" t="str">
        <f aca="false">IF(A883="","",IF(I883&lt;&gt;"","Vendu","En stock"))</f>
        <v/>
      </c>
      <c r="M883" s="17" t="str">
        <f aca="false">IF(J883="","",J883-F883-G883-K883)</f>
        <v/>
      </c>
      <c r="N883" s="40" t="str">
        <f aca="false">IF(OR(J883="",J883=0),"",M883/J883)</f>
        <v/>
      </c>
      <c r="O883" s="41" t="str">
        <f aca="true">IF(D883="","",IF(I883&lt;&gt;"",I883,TODAY())-D883)</f>
        <v/>
      </c>
    </row>
    <row r="884" customFormat="false" ht="15" hidden="false" customHeight="false" outlineLevel="0" collapsed="false">
      <c r="A884" s="9"/>
      <c r="B884" s="9"/>
      <c r="C884" s="9"/>
      <c r="D884" s="34"/>
      <c r="E884" s="9"/>
      <c r="F884" s="35"/>
      <c r="G884" s="35"/>
      <c r="H884" s="35"/>
      <c r="I884" s="34"/>
      <c r="J884" s="35"/>
      <c r="K884" s="35"/>
      <c r="L884" s="39" t="str">
        <f aca="false">IF(A884="","",IF(I884&lt;&gt;"","Vendu","En stock"))</f>
        <v/>
      </c>
      <c r="M884" s="17" t="str">
        <f aca="false">IF(J884="","",J884-F884-G884-K884)</f>
        <v/>
      </c>
      <c r="N884" s="40" t="str">
        <f aca="false">IF(OR(J884="",J884=0),"",M884/J884)</f>
        <v/>
      </c>
      <c r="O884" s="41" t="str">
        <f aca="true">IF(D884="","",IF(I884&lt;&gt;"",I884,TODAY())-D884)</f>
        <v/>
      </c>
    </row>
    <row r="885" customFormat="false" ht="15" hidden="false" customHeight="false" outlineLevel="0" collapsed="false">
      <c r="A885" s="9"/>
      <c r="B885" s="9"/>
      <c r="C885" s="9"/>
      <c r="D885" s="34"/>
      <c r="E885" s="9"/>
      <c r="F885" s="35"/>
      <c r="G885" s="35"/>
      <c r="H885" s="35"/>
      <c r="I885" s="34"/>
      <c r="J885" s="35"/>
      <c r="K885" s="35"/>
      <c r="L885" s="39" t="str">
        <f aca="false">IF(A885="","",IF(I885&lt;&gt;"","Vendu","En stock"))</f>
        <v/>
      </c>
      <c r="M885" s="17" t="str">
        <f aca="false">IF(J885="","",J885-F885-G885-K885)</f>
        <v/>
      </c>
      <c r="N885" s="40" t="str">
        <f aca="false">IF(OR(J885="",J885=0),"",M885/J885)</f>
        <v/>
      </c>
      <c r="O885" s="41" t="str">
        <f aca="true">IF(D885="","",IF(I885&lt;&gt;"",I885,TODAY())-D885)</f>
        <v/>
      </c>
    </row>
    <row r="886" customFormat="false" ht="15" hidden="false" customHeight="false" outlineLevel="0" collapsed="false">
      <c r="A886" s="9"/>
      <c r="B886" s="9"/>
      <c r="C886" s="9"/>
      <c r="D886" s="34"/>
      <c r="E886" s="9"/>
      <c r="F886" s="35"/>
      <c r="G886" s="35"/>
      <c r="H886" s="35"/>
      <c r="I886" s="34"/>
      <c r="J886" s="35"/>
      <c r="K886" s="35"/>
      <c r="L886" s="39" t="str">
        <f aca="false">IF(A886="","",IF(I886&lt;&gt;"","Vendu","En stock"))</f>
        <v/>
      </c>
      <c r="M886" s="17" t="str">
        <f aca="false">IF(J886="","",J886-F886-G886-K886)</f>
        <v/>
      </c>
      <c r="N886" s="40" t="str">
        <f aca="false">IF(OR(J886="",J886=0),"",M886/J886)</f>
        <v/>
      </c>
      <c r="O886" s="41" t="str">
        <f aca="true">IF(D886="","",IF(I886&lt;&gt;"",I886,TODAY())-D886)</f>
        <v/>
      </c>
    </row>
    <row r="887" customFormat="false" ht="15" hidden="false" customHeight="false" outlineLevel="0" collapsed="false">
      <c r="A887" s="9"/>
      <c r="B887" s="9"/>
      <c r="C887" s="9"/>
      <c r="D887" s="34"/>
      <c r="E887" s="9"/>
      <c r="F887" s="35"/>
      <c r="G887" s="35"/>
      <c r="H887" s="35"/>
      <c r="I887" s="34"/>
      <c r="J887" s="35"/>
      <c r="K887" s="35"/>
      <c r="L887" s="39" t="str">
        <f aca="false">IF(A887="","",IF(I887&lt;&gt;"","Vendu","En stock"))</f>
        <v/>
      </c>
      <c r="M887" s="17" t="str">
        <f aca="false">IF(J887="","",J887-F887-G887-K887)</f>
        <v/>
      </c>
      <c r="N887" s="40" t="str">
        <f aca="false">IF(OR(J887="",J887=0),"",M887/J887)</f>
        <v/>
      </c>
      <c r="O887" s="41" t="str">
        <f aca="true">IF(D887="","",IF(I887&lt;&gt;"",I887,TODAY())-D887)</f>
        <v/>
      </c>
    </row>
    <row r="888" customFormat="false" ht="15" hidden="false" customHeight="false" outlineLevel="0" collapsed="false">
      <c r="A888" s="9"/>
      <c r="B888" s="9"/>
      <c r="C888" s="9"/>
      <c r="D888" s="34"/>
      <c r="E888" s="9"/>
      <c r="F888" s="35"/>
      <c r="G888" s="35"/>
      <c r="H888" s="35"/>
      <c r="I888" s="34"/>
      <c r="J888" s="35"/>
      <c r="K888" s="35"/>
      <c r="L888" s="39" t="str">
        <f aca="false">IF(A888="","",IF(I888&lt;&gt;"","Vendu","En stock"))</f>
        <v/>
      </c>
      <c r="M888" s="17" t="str">
        <f aca="false">IF(J888="","",J888-F888-G888-K888)</f>
        <v/>
      </c>
      <c r="N888" s="40" t="str">
        <f aca="false">IF(OR(J888="",J888=0),"",M888/J888)</f>
        <v/>
      </c>
      <c r="O888" s="41" t="str">
        <f aca="true">IF(D888="","",IF(I888&lt;&gt;"",I888,TODAY())-D888)</f>
        <v/>
      </c>
    </row>
    <row r="889" customFormat="false" ht="15" hidden="false" customHeight="false" outlineLevel="0" collapsed="false">
      <c r="A889" s="9"/>
      <c r="B889" s="9"/>
      <c r="C889" s="9"/>
      <c r="D889" s="34"/>
      <c r="E889" s="9"/>
      <c r="F889" s="35"/>
      <c r="G889" s="35"/>
      <c r="H889" s="35"/>
      <c r="I889" s="34"/>
      <c r="J889" s="35"/>
      <c r="K889" s="35"/>
      <c r="L889" s="39" t="str">
        <f aca="false">IF(A889="","",IF(I889&lt;&gt;"","Vendu","En stock"))</f>
        <v/>
      </c>
      <c r="M889" s="17" t="str">
        <f aca="false">IF(J889="","",J889-F889-G889-K889)</f>
        <v/>
      </c>
      <c r="N889" s="40" t="str">
        <f aca="false">IF(OR(J889="",J889=0),"",M889/J889)</f>
        <v/>
      </c>
      <c r="O889" s="41" t="str">
        <f aca="true">IF(D889="","",IF(I889&lt;&gt;"",I889,TODAY())-D889)</f>
        <v/>
      </c>
    </row>
    <row r="890" customFormat="false" ht="15" hidden="false" customHeight="false" outlineLevel="0" collapsed="false">
      <c r="A890" s="9"/>
      <c r="B890" s="9"/>
      <c r="C890" s="9"/>
      <c r="D890" s="34"/>
      <c r="E890" s="9"/>
      <c r="F890" s="35"/>
      <c r="G890" s="35"/>
      <c r="H890" s="35"/>
      <c r="I890" s="34"/>
      <c r="J890" s="35"/>
      <c r="K890" s="35"/>
      <c r="L890" s="39" t="str">
        <f aca="false">IF(A890="","",IF(I890&lt;&gt;"","Vendu","En stock"))</f>
        <v/>
      </c>
      <c r="M890" s="17" t="str">
        <f aca="false">IF(J890="","",J890-F890-G890-K890)</f>
        <v/>
      </c>
      <c r="N890" s="40" t="str">
        <f aca="false">IF(OR(J890="",J890=0),"",M890/J890)</f>
        <v/>
      </c>
      <c r="O890" s="41" t="str">
        <f aca="true">IF(D890="","",IF(I890&lt;&gt;"",I890,TODAY())-D890)</f>
        <v/>
      </c>
    </row>
    <row r="891" customFormat="false" ht="15" hidden="false" customHeight="false" outlineLevel="0" collapsed="false">
      <c r="A891" s="9"/>
      <c r="B891" s="9"/>
      <c r="C891" s="9"/>
      <c r="D891" s="34"/>
      <c r="E891" s="9"/>
      <c r="F891" s="35"/>
      <c r="G891" s="35"/>
      <c r="H891" s="35"/>
      <c r="I891" s="34"/>
      <c r="J891" s="35"/>
      <c r="K891" s="35"/>
      <c r="L891" s="39" t="str">
        <f aca="false">IF(A891="","",IF(I891&lt;&gt;"","Vendu","En stock"))</f>
        <v/>
      </c>
      <c r="M891" s="17" t="str">
        <f aca="false">IF(J891="","",J891-F891-G891-K891)</f>
        <v/>
      </c>
      <c r="N891" s="40" t="str">
        <f aca="false">IF(OR(J891="",J891=0),"",M891/J891)</f>
        <v/>
      </c>
      <c r="O891" s="41" t="str">
        <f aca="true">IF(D891="","",IF(I891&lt;&gt;"",I891,TODAY())-D891)</f>
        <v/>
      </c>
    </row>
    <row r="892" customFormat="false" ht="15" hidden="false" customHeight="false" outlineLevel="0" collapsed="false">
      <c r="A892" s="9"/>
      <c r="B892" s="9"/>
      <c r="C892" s="9"/>
      <c r="D892" s="34"/>
      <c r="E892" s="9"/>
      <c r="F892" s="35"/>
      <c r="G892" s="35"/>
      <c r="H892" s="35"/>
      <c r="I892" s="34"/>
      <c r="J892" s="35"/>
      <c r="K892" s="35"/>
      <c r="L892" s="39" t="str">
        <f aca="false">IF(A892="","",IF(I892&lt;&gt;"","Vendu","En stock"))</f>
        <v/>
      </c>
      <c r="M892" s="17" t="str">
        <f aca="false">IF(J892="","",J892-F892-G892-K892)</f>
        <v/>
      </c>
      <c r="N892" s="40" t="str">
        <f aca="false">IF(OR(J892="",J892=0),"",M892/J892)</f>
        <v/>
      </c>
      <c r="O892" s="41" t="str">
        <f aca="true">IF(D892="","",IF(I892&lt;&gt;"",I892,TODAY())-D892)</f>
        <v/>
      </c>
    </row>
    <row r="893" customFormat="false" ht="15" hidden="false" customHeight="false" outlineLevel="0" collapsed="false">
      <c r="A893" s="9"/>
      <c r="B893" s="9"/>
      <c r="C893" s="9"/>
      <c r="D893" s="34"/>
      <c r="E893" s="9"/>
      <c r="F893" s="35"/>
      <c r="G893" s="35"/>
      <c r="H893" s="35"/>
      <c r="I893" s="34"/>
      <c r="J893" s="35"/>
      <c r="K893" s="35"/>
      <c r="L893" s="39" t="str">
        <f aca="false">IF(A893="","",IF(I893&lt;&gt;"","Vendu","En stock"))</f>
        <v/>
      </c>
      <c r="M893" s="17" t="str">
        <f aca="false">IF(J893="","",J893-F893-G893-K893)</f>
        <v/>
      </c>
      <c r="N893" s="40" t="str">
        <f aca="false">IF(OR(J893="",J893=0),"",M893/J893)</f>
        <v/>
      </c>
      <c r="O893" s="41" t="str">
        <f aca="true">IF(D893="","",IF(I893&lt;&gt;"",I893,TODAY())-D893)</f>
        <v/>
      </c>
    </row>
    <row r="894" customFormat="false" ht="15" hidden="false" customHeight="false" outlineLevel="0" collapsed="false">
      <c r="A894" s="9"/>
      <c r="B894" s="9"/>
      <c r="C894" s="9"/>
      <c r="D894" s="34"/>
      <c r="E894" s="9"/>
      <c r="F894" s="35"/>
      <c r="G894" s="35"/>
      <c r="H894" s="35"/>
      <c r="I894" s="34"/>
      <c r="J894" s="35"/>
      <c r="K894" s="35"/>
      <c r="L894" s="39" t="str">
        <f aca="false">IF(A894="","",IF(I894&lt;&gt;"","Vendu","En stock"))</f>
        <v/>
      </c>
      <c r="M894" s="17" t="str">
        <f aca="false">IF(J894="","",J894-F894-G894-K894)</f>
        <v/>
      </c>
      <c r="N894" s="40" t="str">
        <f aca="false">IF(OR(J894="",J894=0),"",M894/J894)</f>
        <v/>
      </c>
      <c r="O894" s="41" t="str">
        <f aca="true">IF(D894="","",IF(I894&lt;&gt;"",I894,TODAY())-D894)</f>
        <v/>
      </c>
    </row>
    <row r="895" customFormat="false" ht="15" hidden="false" customHeight="false" outlineLevel="0" collapsed="false">
      <c r="A895" s="9"/>
      <c r="B895" s="9"/>
      <c r="C895" s="9"/>
      <c r="D895" s="34"/>
      <c r="E895" s="9"/>
      <c r="F895" s="35"/>
      <c r="G895" s="35"/>
      <c r="H895" s="35"/>
      <c r="I895" s="34"/>
      <c r="J895" s="35"/>
      <c r="K895" s="35"/>
      <c r="L895" s="39" t="str">
        <f aca="false">IF(A895="","",IF(I895&lt;&gt;"","Vendu","En stock"))</f>
        <v/>
      </c>
      <c r="M895" s="17" t="str">
        <f aca="false">IF(J895="","",J895-F895-G895-K895)</f>
        <v/>
      </c>
      <c r="N895" s="40" t="str">
        <f aca="false">IF(OR(J895="",J895=0),"",M895/J895)</f>
        <v/>
      </c>
      <c r="O895" s="41" t="str">
        <f aca="true">IF(D895="","",IF(I895&lt;&gt;"",I895,TODAY())-D895)</f>
        <v/>
      </c>
    </row>
    <row r="896" customFormat="false" ht="15" hidden="false" customHeight="false" outlineLevel="0" collapsed="false">
      <c r="A896" s="9"/>
      <c r="B896" s="9"/>
      <c r="C896" s="9"/>
      <c r="D896" s="34"/>
      <c r="E896" s="9"/>
      <c r="F896" s="35"/>
      <c r="G896" s="35"/>
      <c r="H896" s="35"/>
      <c r="I896" s="34"/>
      <c r="J896" s="35"/>
      <c r="K896" s="35"/>
      <c r="L896" s="39" t="str">
        <f aca="false">IF(A896="","",IF(I896&lt;&gt;"","Vendu","En stock"))</f>
        <v/>
      </c>
      <c r="M896" s="17" t="str">
        <f aca="false">IF(J896="","",J896-F896-G896-K896)</f>
        <v/>
      </c>
      <c r="N896" s="40" t="str">
        <f aca="false">IF(OR(J896="",J896=0),"",M896/J896)</f>
        <v/>
      </c>
      <c r="O896" s="41" t="str">
        <f aca="true">IF(D896="","",IF(I896&lt;&gt;"",I896,TODAY())-D896)</f>
        <v/>
      </c>
    </row>
    <row r="897" customFormat="false" ht="15" hidden="false" customHeight="false" outlineLevel="0" collapsed="false">
      <c r="A897" s="9"/>
      <c r="B897" s="9"/>
      <c r="C897" s="9"/>
      <c r="D897" s="34"/>
      <c r="E897" s="9"/>
      <c r="F897" s="35"/>
      <c r="G897" s="35"/>
      <c r="H897" s="35"/>
      <c r="I897" s="34"/>
      <c r="J897" s="35"/>
      <c r="K897" s="35"/>
      <c r="L897" s="39" t="str">
        <f aca="false">IF(A897="","",IF(I897&lt;&gt;"","Vendu","En stock"))</f>
        <v/>
      </c>
      <c r="M897" s="17" t="str">
        <f aca="false">IF(J897="","",J897-F897-G897-K897)</f>
        <v/>
      </c>
      <c r="N897" s="40" t="str">
        <f aca="false">IF(OR(J897="",J897=0),"",M897/J897)</f>
        <v/>
      </c>
      <c r="O897" s="41" t="str">
        <f aca="true">IF(D897="","",IF(I897&lt;&gt;"",I897,TODAY())-D897)</f>
        <v/>
      </c>
    </row>
    <row r="898" customFormat="false" ht="15" hidden="false" customHeight="false" outlineLevel="0" collapsed="false">
      <c r="A898" s="9"/>
      <c r="B898" s="9"/>
      <c r="C898" s="9"/>
      <c r="D898" s="34"/>
      <c r="E898" s="9"/>
      <c r="F898" s="35"/>
      <c r="G898" s="35"/>
      <c r="H898" s="35"/>
      <c r="I898" s="34"/>
      <c r="J898" s="35"/>
      <c r="K898" s="35"/>
      <c r="L898" s="39" t="str">
        <f aca="false">IF(A898="","",IF(I898&lt;&gt;"","Vendu","En stock"))</f>
        <v/>
      </c>
      <c r="M898" s="17" t="str">
        <f aca="false">IF(J898="","",J898-F898-G898-K898)</f>
        <v/>
      </c>
      <c r="N898" s="40" t="str">
        <f aca="false">IF(OR(J898="",J898=0),"",M898/J898)</f>
        <v/>
      </c>
      <c r="O898" s="41" t="str">
        <f aca="true">IF(D898="","",IF(I898&lt;&gt;"",I898,TODAY())-D898)</f>
        <v/>
      </c>
    </row>
    <row r="899" customFormat="false" ht="15" hidden="false" customHeight="false" outlineLevel="0" collapsed="false">
      <c r="A899" s="9"/>
      <c r="B899" s="9"/>
      <c r="C899" s="9"/>
      <c r="D899" s="34"/>
      <c r="E899" s="9"/>
      <c r="F899" s="35"/>
      <c r="G899" s="35"/>
      <c r="H899" s="35"/>
      <c r="I899" s="34"/>
      <c r="J899" s="35"/>
      <c r="K899" s="35"/>
      <c r="L899" s="39" t="str">
        <f aca="false">IF(A899="","",IF(I899&lt;&gt;"","Vendu","En stock"))</f>
        <v/>
      </c>
      <c r="M899" s="17" t="str">
        <f aca="false">IF(J899="","",J899-F899-G899-K899)</f>
        <v/>
      </c>
      <c r="N899" s="40" t="str">
        <f aca="false">IF(OR(J899="",J899=0),"",M899/J899)</f>
        <v/>
      </c>
      <c r="O899" s="41" t="str">
        <f aca="true">IF(D899="","",IF(I899&lt;&gt;"",I899,TODAY())-D899)</f>
        <v/>
      </c>
    </row>
    <row r="900" customFormat="false" ht="15" hidden="false" customHeight="false" outlineLevel="0" collapsed="false">
      <c r="A900" s="9"/>
      <c r="B900" s="9"/>
      <c r="C900" s="9"/>
      <c r="D900" s="34"/>
      <c r="E900" s="9"/>
      <c r="F900" s="35"/>
      <c r="G900" s="35"/>
      <c r="H900" s="35"/>
      <c r="I900" s="34"/>
      <c r="J900" s="35"/>
      <c r="K900" s="35"/>
      <c r="L900" s="39" t="str">
        <f aca="false">IF(A900="","",IF(I900&lt;&gt;"","Vendu","En stock"))</f>
        <v/>
      </c>
      <c r="M900" s="17" t="str">
        <f aca="false">IF(J900="","",J900-F900-G900-K900)</f>
        <v/>
      </c>
      <c r="N900" s="40" t="str">
        <f aca="false">IF(OR(J900="",J900=0),"",M900/J900)</f>
        <v/>
      </c>
      <c r="O900" s="41" t="str">
        <f aca="true">IF(D900="","",IF(I900&lt;&gt;"",I900,TODAY())-D900)</f>
        <v/>
      </c>
    </row>
    <row r="901" customFormat="false" ht="15" hidden="false" customHeight="false" outlineLevel="0" collapsed="false">
      <c r="A901" s="9"/>
      <c r="B901" s="9"/>
      <c r="C901" s="9"/>
      <c r="D901" s="34"/>
      <c r="E901" s="9"/>
      <c r="F901" s="35"/>
      <c r="G901" s="35"/>
      <c r="H901" s="35"/>
      <c r="I901" s="34"/>
      <c r="J901" s="35"/>
      <c r="K901" s="35"/>
      <c r="L901" s="39" t="str">
        <f aca="false">IF(A901="","",IF(I901&lt;&gt;"","Vendu","En stock"))</f>
        <v/>
      </c>
      <c r="M901" s="17" t="str">
        <f aca="false">IF(J901="","",J901-F901-G901-K901)</f>
        <v/>
      </c>
      <c r="N901" s="40" t="str">
        <f aca="false">IF(OR(J901="",J901=0),"",M901/J901)</f>
        <v/>
      </c>
      <c r="O901" s="41" t="str">
        <f aca="true">IF(D901="","",IF(I901&lt;&gt;"",I901,TODAY())-D901)</f>
        <v/>
      </c>
    </row>
    <row r="902" customFormat="false" ht="15" hidden="false" customHeight="false" outlineLevel="0" collapsed="false">
      <c r="A902" s="9"/>
      <c r="B902" s="9"/>
      <c r="C902" s="9"/>
      <c r="D902" s="34"/>
      <c r="E902" s="9"/>
      <c r="F902" s="35"/>
      <c r="G902" s="35"/>
      <c r="H902" s="35"/>
      <c r="I902" s="34"/>
      <c r="J902" s="35"/>
      <c r="K902" s="35"/>
      <c r="L902" s="39" t="str">
        <f aca="false">IF(A902="","",IF(I902&lt;&gt;"","Vendu","En stock"))</f>
        <v/>
      </c>
      <c r="M902" s="17" t="str">
        <f aca="false">IF(J902="","",J902-F902-G902-K902)</f>
        <v/>
      </c>
      <c r="N902" s="40" t="str">
        <f aca="false">IF(OR(J902="",J902=0),"",M902/J902)</f>
        <v/>
      </c>
      <c r="O902" s="41" t="str">
        <f aca="true">IF(D902="","",IF(I902&lt;&gt;"",I902,TODAY())-D902)</f>
        <v/>
      </c>
    </row>
    <row r="903" customFormat="false" ht="15" hidden="false" customHeight="false" outlineLevel="0" collapsed="false">
      <c r="A903" s="9"/>
      <c r="B903" s="9"/>
      <c r="C903" s="9"/>
      <c r="D903" s="34"/>
      <c r="E903" s="9"/>
      <c r="F903" s="35"/>
      <c r="G903" s="35"/>
      <c r="H903" s="35"/>
      <c r="I903" s="34"/>
      <c r="J903" s="35"/>
      <c r="K903" s="35"/>
      <c r="L903" s="39" t="str">
        <f aca="false">IF(A903="","",IF(I903&lt;&gt;"","Vendu","En stock"))</f>
        <v/>
      </c>
      <c r="M903" s="17" t="str">
        <f aca="false">IF(J903="","",J903-F903-G903-K903)</f>
        <v/>
      </c>
      <c r="N903" s="40" t="str">
        <f aca="false">IF(OR(J903="",J903=0),"",M903/J903)</f>
        <v/>
      </c>
      <c r="O903" s="41" t="str">
        <f aca="true">IF(D903="","",IF(I903&lt;&gt;"",I903,TODAY())-D903)</f>
        <v/>
      </c>
    </row>
    <row r="904" customFormat="false" ht="15" hidden="false" customHeight="false" outlineLevel="0" collapsed="false">
      <c r="A904" s="9"/>
      <c r="B904" s="9"/>
      <c r="C904" s="9"/>
      <c r="D904" s="34"/>
      <c r="E904" s="9"/>
      <c r="F904" s="35"/>
      <c r="G904" s="35"/>
      <c r="H904" s="35"/>
      <c r="I904" s="34"/>
      <c r="J904" s="35"/>
      <c r="K904" s="35"/>
      <c r="L904" s="39" t="str">
        <f aca="false">IF(A904="","",IF(I904&lt;&gt;"","Vendu","En stock"))</f>
        <v/>
      </c>
      <c r="M904" s="17" t="str">
        <f aca="false">IF(J904="","",J904-F904-G904-K904)</f>
        <v/>
      </c>
      <c r="N904" s="40" t="str">
        <f aca="false">IF(OR(J904="",J904=0),"",M904/J904)</f>
        <v/>
      </c>
      <c r="O904" s="41" t="str">
        <f aca="true">IF(D904="","",IF(I904&lt;&gt;"",I904,TODAY())-D904)</f>
        <v/>
      </c>
    </row>
    <row r="905" customFormat="false" ht="15" hidden="false" customHeight="false" outlineLevel="0" collapsed="false">
      <c r="A905" s="9"/>
      <c r="B905" s="9"/>
      <c r="C905" s="9"/>
      <c r="D905" s="34"/>
      <c r="E905" s="9"/>
      <c r="F905" s="35"/>
      <c r="G905" s="35"/>
      <c r="H905" s="35"/>
      <c r="I905" s="34"/>
      <c r="J905" s="35"/>
      <c r="K905" s="35"/>
      <c r="L905" s="39" t="str">
        <f aca="false">IF(A905="","",IF(I905&lt;&gt;"","Vendu","En stock"))</f>
        <v/>
      </c>
      <c r="M905" s="17" t="str">
        <f aca="false">IF(J905="","",J905-F905-G905-K905)</f>
        <v/>
      </c>
      <c r="N905" s="40" t="str">
        <f aca="false">IF(OR(J905="",J905=0),"",M905/J905)</f>
        <v/>
      </c>
      <c r="O905" s="41" t="str">
        <f aca="true">IF(D905="","",IF(I905&lt;&gt;"",I905,TODAY())-D905)</f>
        <v/>
      </c>
    </row>
    <row r="906" customFormat="false" ht="15" hidden="false" customHeight="false" outlineLevel="0" collapsed="false">
      <c r="A906" s="9"/>
      <c r="B906" s="9"/>
      <c r="C906" s="9"/>
      <c r="D906" s="34"/>
      <c r="E906" s="9"/>
      <c r="F906" s="35"/>
      <c r="G906" s="35"/>
      <c r="H906" s="35"/>
      <c r="I906" s="34"/>
      <c r="J906" s="35"/>
      <c r="K906" s="35"/>
      <c r="L906" s="39" t="str">
        <f aca="false">IF(A906="","",IF(I906&lt;&gt;"","Vendu","En stock"))</f>
        <v/>
      </c>
      <c r="M906" s="17" t="str">
        <f aca="false">IF(J906="","",J906-F906-G906-K906)</f>
        <v/>
      </c>
      <c r="N906" s="40" t="str">
        <f aca="false">IF(OR(J906="",J906=0),"",M906/J906)</f>
        <v/>
      </c>
      <c r="O906" s="41" t="str">
        <f aca="true">IF(D906="","",IF(I906&lt;&gt;"",I906,TODAY())-D906)</f>
        <v/>
      </c>
    </row>
    <row r="907" customFormat="false" ht="15" hidden="false" customHeight="false" outlineLevel="0" collapsed="false">
      <c r="A907" s="9"/>
      <c r="B907" s="9"/>
      <c r="C907" s="9"/>
      <c r="D907" s="34"/>
      <c r="E907" s="9"/>
      <c r="F907" s="35"/>
      <c r="G907" s="35"/>
      <c r="H907" s="35"/>
      <c r="I907" s="34"/>
      <c r="J907" s="35"/>
      <c r="K907" s="35"/>
      <c r="L907" s="39" t="str">
        <f aca="false">IF(A907="","",IF(I907&lt;&gt;"","Vendu","En stock"))</f>
        <v/>
      </c>
      <c r="M907" s="17" t="str">
        <f aca="false">IF(J907="","",J907-F907-G907-K907)</f>
        <v/>
      </c>
      <c r="N907" s="40" t="str">
        <f aca="false">IF(OR(J907="",J907=0),"",M907/J907)</f>
        <v/>
      </c>
      <c r="O907" s="41" t="str">
        <f aca="true">IF(D907="","",IF(I907&lt;&gt;"",I907,TODAY())-D907)</f>
        <v/>
      </c>
    </row>
    <row r="908" customFormat="false" ht="15" hidden="false" customHeight="false" outlineLevel="0" collapsed="false">
      <c r="A908" s="9"/>
      <c r="B908" s="9"/>
      <c r="C908" s="9"/>
      <c r="D908" s="34"/>
      <c r="E908" s="9"/>
      <c r="F908" s="35"/>
      <c r="G908" s="35"/>
      <c r="H908" s="35"/>
      <c r="I908" s="34"/>
      <c r="J908" s="35"/>
      <c r="K908" s="35"/>
      <c r="L908" s="39" t="str">
        <f aca="false">IF(A908="","",IF(I908&lt;&gt;"","Vendu","En stock"))</f>
        <v/>
      </c>
      <c r="M908" s="17" t="str">
        <f aca="false">IF(J908="","",J908-F908-G908-K908)</f>
        <v/>
      </c>
      <c r="N908" s="40" t="str">
        <f aca="false">IF(OR(J908="",J908=0),"",M908/J908)</f>
        <v/>
      </c>
      <c r="O908" s="41" t="str">
        <f aca="true">IF(D908="","",IF(I908&lt;&gt;"",I908,TODAY())-D908)</f>
        <v/>
      </c>
    </row>
    <row r="909" customFormat="false" ht="15" hidden="false" customHeight="false" outlineLevel="0" collapsed="false">
      <c r="A909" s="9"/>
      <c r="B909" s="9"/>
      <c r="C909" s="9"/>
      <c r="D909" s="34"/>
      <c r="E909" s="9"/>
      <c r="F909" s="35"/>
      <c r="G909" s="35"/>
      <c r="H909" s="35"/>
      <c r="I909" s="34"/>
      <c r="J909" s="35"/>
      <c r="K909" s="35"/>
      <c r="L909" s="39" t="str">
        <f aca="false">IF(A909="","",IF(I909&lt;&gt;"","Vendu","En stock"))</f>
        <v/>
      </c>
      <c r="M909" s="17" t="str">
        <f aca="false">IF(J909="","",J909-F909-G909-K909)</f>
        <v/>
      </c>
      <c r="N909" s="40" t="str">
        <f aca="false">IF(OR(J909="",J909=0),"",M909/J909)</f>
        <v/>
      </c>
      <c r="O909" s="41" t="str">
        <f aca="true">IF(D909="","",IF(I909&lt;&gt;"",I909,TODAY())-D909)</f>
        <v/>
      </c>
    </row>
    <row r="910" customFormat="false" ht="15" hidden="false" customHeight="false" outlineLevel="0" collapsed="false">
      <c r="A910" s="9"/>
      <c r="B910" s="9"/>
      <c r="C910" s="9"/>
      <c r="D910" s="34"/>
      <c r="E910" s="9"/>
      <c r="F910" s="35"/>
      <c r="G910" s="35"/>
      <c r="H910" s="35"/>
      <c r="I910" s="34"/>
      <c r="J910" s="35"/>
      <c r="K910" s="35"/>
      <c r="L910" s="39" t="str">
        <f aca="false">IF(A910="","",IF(I910&lt;&gt;"","Vendu","En stock"))</f>
        <v/>
      </c>
      <c r="M910" s="17" t="str">
        <f aca="false">IF(J910="","",J910-F910-G910-K910)</f>
        <v/>
      </c>
      <c r="N910" s="40" t="str">
        <f aca="false">IF(OR(J910="",J910=0),"",M910/J910)</f>
        <v/>
      </c>
      <c r="O910" s="41" t="str">
        <f aca="true">IF(D910="","",IF(I910&lt;&gt;"",I910,TODAY())-D910)</f>
        <v/>
      </c>
    </row>
    <row r="911" customFormat="false" ht="15" hidden="false" customHeight="false" outlineLevel="0" collapsed="false">
      <c r="A911" s="9"/>
      <c r="B911" s="9"/>
      <c r="C911" s="9"/>
      <c r="D911" s="34"/>
      <c r="E911" s="9"/>
      <c r="F911" s="35"/>
      <c r="G911" s="35"/>
      <c r="H911" s="35"/>
      <c r="I911" s="34"/>
      <c r="J911" s="35"/>
      <c r="K911" s="35"/>
      <c r="L911" s="39" t="str">
        <f aca="false">IF(A911="","",IF(I911&lt;&gt;"","Vendu","En stock"))</f>
        <v/>
      </c>
      <c r="M911" s="17" t="str">
        <f aca="false">IF(J911="","",J911-F911-G911-K911)</f>
        <v/>
      </c>
      <c r="N911" s="40" t="str">
        <f aca="false">IF(OR(J911="",J911=0),"",M911/J911)</f>
        <v/>
      </c>
      <c r="O911" s="41" t="str">
        <f aca="true">IF(D911="","",IF(I911&lt;&gt;"",I911,TODAY())-D911)</f>
        <v/>
      </c>
    </row>
    <row r="912" customFormat="false" ht="15" hidden="false" customHeight="false" outlineLevel="0" collapsed="false">
      <c r="A912" s="9"/>
      <c r="B912" s="9"/>
      <c r="C912" s="9"/>
      <c r="D912" s="34"/>
      <c r="E912" s="9"/>
      <c r="F912" s="35"/>
      <c r="G912" s="35"/>
      <c r="H912" s="35"/>
      <c r="I912" s="34"/>
      <c r="J912" s="35"/>
      <c r="K912" s="35"/>
      <c r="L912" s="39" t="str">
        <f aca="false">IF(A912="","",IF(I912&lt;&gt;"","Vendu","En stock"))</f>
        <v/>
      </c>
      <c r="M912" s="17" t="str">
        <f aca="false">IF(J912="","",J912-F912-G912-K912)</f>
        <v/>
      </c>
      <c r="N912" s="40" t="str">
        <f aca="false">IF(OR(J912="",J912=0),"",M912/J912)</f>
        <v/>
      </c>
      <c r="O912" s="41" t="str">
        <f aca="true">IF(D912="","",IF(I912&lt;&gt;"",I912,TODAY())-D912)</f>
        <v/>
      </c>
    </row>
    <row r="913" customFormat="false" ht="15" hidden="false" customHeight="false" outlineLevel="0" collapsed="false">
      <c r="A913" s="9"/>
      <c r="B913" s="9"/>
      <c r="C913" s="9"/>
      <c r="D913" s="34"/>
      <c r="E913" s="9"/>
      <c r="F913" s="35"/>
      <c r="G913" s="35"/>
      <c r="H913" s="35"/>
      <c r="I913" s="34"/>
      <c r="J913" s="35"/>
      <c r="K913" s="35"/>
      <c r="L913" s="39" t="str">
        <f aca="false">IF(A913="","",IF(I913&lt;&gt;"","Vendu","En stock"))</f>
        <v/>
      </c>
      <c r="M913" s="17" t="str">
        <f aca="false">IF(J913="","",J913-F913-G913-K913)</f>
        <v/>
      </c>
      <c r="N913" s="40" t="str">
        <f aca="false">IF(OR(J913="",J913=0),"",M913/J913)</f>
        <v/>
      </c>
      <c r="O913" s="41" t="str">
        <f aca="true">IF(D913="","",IF(I913&lt;&gt;"",I913,TODAY())-D913)</f>
        <v/>
      </c>
    </row>
    <row r="914" customFormat="false" ht="15" hidden="false" customHeight="false" outlineLevel="0" collapsed="false">
      <c r="A914" s="9"/>
      <c r="B914" s="9"/>
      <c r="C914" s="9"/>
      <c r="D914" s="34"/>
      <c r="E914" s="9"/>
      <c r="F914" s="35"/>
      <c r="G914" s="35"/>
      <c r="H914" s="35"/>
      <c r="I914" s="34"/>
      <c r="J914" s="35"/>
      <c r="K914" s="35"/>
      <c r="L914" s="39" t="str">
        <f aca="false">IF(A914="","",IF(I914&lt;&gt;"","Vendu","En stock"))</f>
        <v/>
      </c>
      <c r="M914" s="17" t="str">
        <f aca="false">IF(J914="","",J914-F914-G914-K914)</f>
        <v/>
      </c>
      <c r="N914" s="40" t="str">
        <f aca="false">IF(OR(J914="",J914=0),"",M914/J914)</f>
        <v/>
      </c>
      <c r="O914" s="41" t="str">
        <f aca="true">IF(D914="","",IF(I914&lt;&gt;"",I914,TODAY())-D914)</f>
        <v/>
      </c>
    </row>
    <row r="915" customFormat="false" ht="15" hidden="false" customHeight="false" outlineLevel="0" collapsed="false">
      <c r="A915" s="9"/>
      <c r="B915" s="9"/>
      <c r="C915" s="9"/>
      <c r="D915" s="34"/>
      <c r="E915" s="9"/>
      <c r="F915" s="35"/>
      <c r="G915" s="35"/>
      <c r="H915" s="35"/>
      <c r="I915" s="34"/>
      <c r="J915" s="35"/>
      <c r="K915" s="35"/>
      <c r="L915" s="39" t="str">
        <f aca="false">IF(A915="","",IF(I915&lt;&gt;"","Vendu","En stock"))</f>
        <v/>
      </c>
      <c r="M915" s="17" t="str">
        <f aca="false">IF(J915="","",J915-F915-G915-K915)</f>
        <v/>
      </c>
      <c r="N915" s="40" t="str">
        <f aca="false">IF(OR(J915="",J915=0),"",M915/J915)</f>
        <v/>
      </c>
      <c r="O915" s="41" t="str">
        <f aca="true">IF(D915="","",IF(I915&lt;&gt;"",I915,TODAY())-D915)</f>
        <v/>
      </c>
    </row>
    <row r="916" customFormat="false" ht="15" hidden="false" customHeight="false" outlineLevel="0" collapsed="false">
      <c r="A916" s="9"/>
      <c r="B916" s="9"/>
      <c r="C916" s="9"/>
      <c r="D916" s="34"/>
      <c r="E916" s="9"/>
      <c r="F916" s="35"/>
      <c r="G916" s="35"/>
      <c r="H916" s="35"/>
      <c r="I916" s="34"/>
      <c r="J916" s="35"/>
      <c r="K916" s="35"/>
      <c r="L916" s="39" t="str">
        <f aca="false">IF(A916="","",IF(I916&lt;&gt;"","Vendu","En stock"))</f>
        <v/>
      </c>
      <c r="M916" s="17" t="str">
        <f aca="false">IF(J916="","",J916-F916-G916-K916)</f>
        <v/>
      </c>
      <c r="N916" s="40" t="str">
        <f aca="false">IF(OR(J916="",J916=0),"",M916/J916)</f>
        <v/>
      </c>
      <c r="O916" s="41" t="str">
        <f aca="true">IF(D916="","",IF(I916&lt;&gt;"",I916,TODAY())-D916)</f>
        <v/>
      </c>
    </row>
    <row r="917" customFormat="false" ht="15" hidden="false" customHeight="false" outlineLevel="0" collapsed="false">
      <c r="A917" s="9"/>
      <c r="B917" s="9"/>
      <c r="C917" s="9"/>
      <c r="D917" s="34"/>
      <c r="E917" s="9"/>
      <c r="F917" s="35"/>
      <c r="G917" s="35"/>
      <c r="H917" s="35"/>
      <c r="I917" s="34"/>
      <c r="J917" s="35"/>
      <c r="K917" s="35"/>
      <c r="L917" s="39" t="str">
        <f aca="false">IF(A917="","",IF(I917&lt;&gt;"","Vendu","En stock"))</f>
        <v/>
      </c>
      <c r="M917" s="17" t="str">
        <f aca="false">IF(J917="","",J917-F917-G917-K917)</f>
        <v/>
      </c>
      <c r="N917" s="40" t="str">
        <f aca="false">IF(OR(J917="",J917=0),"",M917/J917)</f>
        <v/>
      </c>
      <c r="O917" s="41" t="str">
        <f aca="true">IF(D917="","",IF(I917&lt;&gt;"",I917,TODAY())-D917)</f>
        <v/>
      </c>
    </row>
    <row r="918" customFormat="false" ht="15" hidden="false" customHeight="false" outlineLevel="0" collapsed="false">
      <c r="A918" s="9"/>
      <c r="B918" s="9"/>
      <c r="C918" s="9"/>
      <c r="D918" s="34"/>
      <c r="E918" s="9"/>
      <c r="F918" s="35"/>
      <c r="G918" s="35"/>
      <c r="H918" s="35"/>
      <c r="I918" s="34"/>
      <c r="J918" s="35"/>
      <c r="K918" s="35"/>
      <c r="L918" s="39" t="str">
        <f aca="false">IF(A918="","",IF(I918&lt;&gt;"","Vendu","En stock"))</f>
        <v/>
      </c>
      <c r="M918" s="17" t="str">
        <f aca="false">IF(J918="","",J918-F918-G918-K918)</f>
        <v/>
      </c>
      <c r="N918" s="40" t="str">
        <f aca="false">IF(OR(J918="",J918=0),"",M918/J918)</f>
        <v/>
      </c>
      <c r="O918" s="41" t="str">
        <f aca="true">IF(D918="","",IF(I918&lt;&gt;"",I918,TODAY())-D918)</f>
        <v/>
      </c>
    </row>
    <row r="919" customFormat="false" ht="15" hidden="false" customHeight="false" outlineLevel="0" collapsed="false">
      <c r="A919" s="9"/>
      <c r="B919" s="9"/>
      <c r="C919" s="9"/>
      <c r="D919" s="34"/>
      <c r="E919" s="9"/>
      <c r="F919" s="35"/>
      <c r="G919" s="35"/>
      <c r="H919" s="35"/>
      <c r="I919" s="34"/>
      <c r="J919" s="35"/>
      <c r="K919" s="35"/>
      <c r="L919" s="39" t="str">
        <f aca="false">IF(A919="","",IF(I919&lt;&gt;"","Vendu","En stock"))</f>
        <v/>
      </c>
      <c r="M919" s="17" t="str">
        <f aca="false">IF(J919="","",J919-F919-G919-K919)</f>
        <v/>
      </c>
      <c r="N919" s="40" t="str">
        <f aca="false">IF(OR(J919="",J919=0),"",M919/J919)</f>
        <v/>
      </c>
      <c r="O919" s="41" t="str">
        <f aca="true">IF(D919="","",IF(I919&lt;&gt;"",I919,TODAY())-D919)</f>
        <v/>
      </c>
    </row>
    <row r="920" customFormat="false" ht="15" hidden="false" customHeight="false" outlineLevel="0" collapsed="false">
      <c r="A920" s="9"/>
      <c r="B920" s="9"/>
      <c r="C920" s="9"/>
      <c r="D920" s="34"/>
      <c r="E920" s="9"/>
      <c r="F920" s="35"/>
      <c r="G920" s="35"/>
      <c r="H920" s="35"/>
      <c r="I920" s="34"/>
      <c r="J920" s="35"/>
      <c r="K920" s="35"/>
      <c r="L920" s="39" t="str">
        <f aca="false">IF(A920="","",IF(I920&lt;&gt;"","Vendu","En stock"))</f>
        <v/>
      </c>
      <c r="M920" s="17" t="str">
        <f aca="false">IF(J920="","",J920-F920-G920-K920)</f>
        <v/>
      </c>
      <c r="N920" s="40" t="str">
        <f aca="false">IF(OR(J920="",J920=0),"",M920/J920)</f>
        <v/>
      </c>
      <c r="O920" s="41" t="str">
        <f aca="true">IF(D920="","",IF(I920&lt;&gt;"",I920,TODAY())-D920)</f>
        <v/>
      </c>
    </row>
    <row r="921" customFormat="false" ht="15" hidden="false" customHeight="false" outlineLevel="0" collapsed="false">
      <c r="A921" s="9"/>
      <c r="B921" s="9"/>
      <c r="C921" s="9"/>
      <c r="D921" s="34"/>
      <c r="E921" s="9"/>
      <c r="F921" s="35"/>
      <c r="G921" s="35"/>
      <c r="H921" s="35"/>
      <c r="I921" s="34"/>
      <c r="J921" s="35"/>
      <c r="K921" s="35"/>
      <c r="L921" s="39" t="str">
        <f aca="false">IF(A921="","",IF(I921&lt;&gt;"","Vendu","En stock"))</f>
        <v/>
      </c>
      <c r="M921" s="17" t="str">
        <f aca="false">IF(J921="","",J921-F921-G921-K921)</f>
        <v/>
      </c>
      <c r="N921" s="40" t="str">
        <f aca="false">IF(OR(J921="",J921=0),"",M921/J921)</f>
        <v/>
      </c>
      <c r="O921" s="41" t="str">
        <f aca="true">IF(D921="","",IF(I921&lt;&gt;"",I921,TODAY())-D921)</f>
        <v/>
      </c>
    </row>
    <row r="922" customFormat="false" ht="15" hidden="false" customHeight="false" outlineLevel="0" collapsed="false">
      <c r="A922" s="9"/>
      <c r="B922" s="9"/>
      <c r="C922" s="9"/>
      <c r="D922" s="34"/>
      <c r="E922" s="9"/>
      <c r="F922" s="35"/>
      <c r="G922" s="35"/>
      <c r="H922" s="35"/>
      <c r="I922" s="34"/>
      <c r="J922" s="35"/>
      <c r="K922" s="35"/>
      <c r="L922" s="39" t="str">
        <f aca="false">IF(A922="","",IF(I922&lt;&gt;"","Vendu","En stock"))</f>
        <v/>
      </c>
      <c r="M922" s="17" t="str">
        <f aca="false">IF(J922="","",J922-F922-G922-K922)</f>
        <v/>
      </c>
      <c r="N922" s="40" t="str">
        <f aca="false">IF(OR(J922="",J922=0),"",M922/J922)</f>
        <v/>
      </c>
      <c r="O922" s="41" t="str">
        <f aca="true">IF(D922="","",IF(I922&lt;&gt;"",I922,TODAY())-D922)</f>
        <v/>
      </c>
    </row>
    <row r="923" customFormat="false" ht="15" hidden="false" customHeight="false" outlineLevel="0" collapsed="false">
      <c r="A923" s="9"/>
      <c r="B923" s="9"/>
      <c r="C923" s="9"/>
      <c r="D923" s="34"/>
      <c r="E923" s="9"/>
      <c r="F923" s="35"/>
      <c r="G923" s="35"/>
      <c r="H923" s="35"/>
      <c r="I923" s="34"/>
      <c r="J923" s="35"/>
      <c r="K923" s="35"/>
      <c r="L923" s="39" t="str">
        <f aca="false">IF(A923="","",IF(I923&lt;&gt;"","Vendu","En stock"))</f>
        <v/>
      </c>
      <c r="M923" s="17" t="str">
        <f aca="false">IF(J923="","",J923-F923-G923-K923)</f>
        <v/>
      </c>
      <c r="N923" s="40" t="str">
        <f aca="false">IF(OR(J923="",J923=0),"",M923/J923)</f>
        <v/>
      </c>
      <c r="O923" s="41" t="str">
        <f aca="true">IF(D923="","",IF(I923&lt;&gt;"",I923,TODAY())-D923)</f>
        <v/>
      </c>
    </row>
    <row r="924" customFormat="false" ht="15" hidden="false" customHeight="false" outlineLevel="0" collapsed="false">
      <c r="A924" s="9"/>
      <c r="B924" s="9"/>
      <c r="C924" s="9"/>
      <c r="D924" s="34"/>
      <c r="E924" s="9"/>
      <c r="F924" s="35"/>
      <c r="G924" s="35"/>
      <c r="H924" s="35"/>
      <c r="I924" s="34"/>
      <c r="J924" s="35"/>
      <c r="K924" s="35"/>
      <c r="L924" s="39" t="str">
        <f aca="false">IF(A924="","",IF(I924&lt;&gt;"","Vendu","En stock"))</f>
        <v/>
      </c>
      <c r="M924" s="17" t="str">
        <f aca="false">IF(J924="","",J924-F924-G924-K924)</f>
        <v/>
      </c>
      <c r="N924" s="40" t="str">
        <f aca="false">IF(OR(J924="",J924=0),"",M924/J924)</f>
        <v/>
      </c>
      <c r="O924" s="41" t="str">
        <f aca="true">IF(D924="","",IF(I924&lt;&gt;"",I924,TODAY())-D924)</f>
        <v/>
      </c>
    </row>
    <row r="925" customFormat="false" ht="15" hidden="false" customHeight="false" outlineLevel="0" collapsed="false">
      <c r="A925" s="9"/>
      <c r="B925" s="9"/>
      <c r="C925" s="9"/>
      <c r="D925" s="34"/>
      <c r="E925" s="9"/>
      <c r="F925" s="35"/>
      <c r="G925" s="35"/>
      <c r="H925" s="35"/>
      <c r="I925" s="34"/>
      <c r="J925" s="35"/>
      <c r="K925" s="35"/>
      <c r="L925" s="39" t="str">
        <f aca="false">IF(A925="","",IF(I925&lt;&gt;"","Vendu","En stock"))</f>
        <v/>
      </c>
      <c r="M925" s="17" t="str">
        <f aca="false">IF(J925="","",J925-F925-G925-K925)</f>
        <v/>
      </c>
      <c r="N925" s="40" t="str">
        <f aca="false">IF(OR(J925="",J925=0),"",M925/J925)</f>
        <v/>
      </c>
      <c r="O925" s="41" t="str">
        <f aca="true">IF(D925="","",IF(I925&lt;&gt;"",I925,TODAY())-D925)</f>
        <v/>
      </c>
    </row>
    <row r="926" customFormat="false" ht="15" hidden="false" customHeight="false" outlineLevel="0" collapsed="false">
      <c r="A926" s="9"/>
      <c r="B926" s="9"/>
      <c r="C926" s="9"/>
      <c r="D926" s="34"/>
      <c r="E926" s="9"/>
      <c r="F926" s="35"/>
      <c r="G926" s="35"/>
      <c r="H926" s="35"/>
      <c r="I926" s="34"/>
      <c r="J926" s="35"/>
      <c r="K926" s="35"/>
      <c r="L926" s="39" t="str">
        <f aca="false">IF(A926="","",IF(I926&lt;&gt;"","Vendu","En stock"))</f>
        <v/>
      </c>
      <c r="M926" s="17" t="str">
        <f aca="false">IF(J926="","",J926-F926-G926-K926)</f>
        <v/>
      </c>
      <c r="N926" s="40" t="str">
        <f aca="false">IF(OR(J926="",J926=0),"",M926/J926)</f>
        <v/>
      </c>
      <c r="O926" s="41" t="str">
        <f aca="true">IF(D926="","",IF(I926&lt;&gt;"",I926,TODAY())-D926)</f>
        <v/>
      </c>
    </row>
    <row r="927" customFormat="false" ht="15" hidden="false" customHeight="false" outlineLevel="0" collapsed="false">
      <c r="A927" s="9"/>
      <c r="B927" s="9"/>
      <c r="C927" s="9"/>
      <c r="D927" s="34"/>
      <c r="E927" s="9"/>
      <c r="F927" s="35"/>
      <c r="G927" s="35"/>
      <c r="H927" s="35"/>
      <c r="I927" s="34"/>
      <c r="J927" s="35"/>
      <c r="K927" s="35"/>
      <c r="L927" s="39" t="str">
        <f aca="false">IF(A927="","",IF(I927&lt;&gt;"","Vendu","En stock"))</f>
        <v/>
      </c>
      <c r="M927" s="17" t="str">
        <f aca="false">IF(J927="","",J927-F927-G927-K927)</f>
        <v/>
      </c>
      <c r="N927" s="40" t="str">
        <f aca="false">IF(OR(J927="",J927=0),"",M927/J927)</f>
        <v/>
      </c>
      <c r="O927" s="41" t="str">
        <f aca="true">IF(D927="","",IF(I927&lt;&gt;"",I927,TODAY())-D927)</f>
        <v/>
      </c>
    </row>
    <row r="928" customFormat="false" ht="15" hidden="false" customHeight="false" outlineLevel="0" collapsed="false">
      <c r="A928" s="9"/>
      <c r="B928" s="9"/>
      <c r="C928" s="9"/>
      <c r="D928" s="34"/>
      <c r="E928" s="9"/>
      <c r="F928" s="35"/>
      <c r="G928" s="35"/>
      <c r="H928" s="35"/>
      <c r="I928" s="34"/>
      <c r="J928" s="35"/>
      <c r="K928" s="35"/>
      <c r="L928" s="39" t="str">
        <f aca="false">IF(A928="","",IF(I928&lt;&gt;"","Vendu","En stock"))</f>
        <v/>
      </c>
      <c r="M928" s="17" t="str">
        <f aca="false">IF(J928="","",J928-F928-G928-K928)</f>
        <v/>
      </c>
      <c r="N928" s="40" t="str">
        <f aca="false">IF(OR(J928="",J928=0),"",M928/J928)</f>
        <v/>
      </c>
      <c r="O928" s="41" t="str">
        <f aca="true">IF(D928="","",IF(I928&lt;&gt;"",I928,TODAY())-D928)</f>
        <v/>
      </c>
    </row>
    <row r="929" customFormat="false" ht="15" hidden="false" customHeight="false" outlineLevel="0" collapsed="false">
      <c r="A929" s="9"/>
      <c r="B929" s="9"/>
      <c r="C929" s="9"/>
      <c r="D929" s="34"/>
      <c r="E929" s="9"/>
      <c r="F929" s="35"/>
      <c r="G929" s="35"/>
      <c r="H929" s="35"/>
      <c r="I929" s="34"/>
      <c r="J929" s="35"/>
      <c r="K929" s="35"/>
      <c r="L929" s="39" t="str">
        <f aca="false">IF(A929="","",IF(I929&lt;&gt;"","Vendu","En stock"))</f>
        <v/>
      </c>
      <c r="M929" s="17" t="str">
        <f aca="false">IF(J929="","",J929-F929-G929-K929)</f>
        <v/>
      </c>
      <c r="N929" s="40" t="str">
        <f aca="false">IF(OR(J929="",J929=0),"",M929/J929)</f>
        <v/>
      </c>
      <c r="O929" s="41" t="str">
        <f aca="true">IF(D929="","",IF(I929&lt;&gt;"",I929,TODAY())-D929)</f>
        <v/>
      </c>
    </row>
    <row r="930" customFormat="false" ht="15" hidden="false" customHeight="false" outlineLevel="0" collapsed="false">
      <c r="A930" s="9"/>
      <c r="B930" s="9"/>
      <c r="C930" s="9"/>
      <c r="D930" s="34"/>
      <c r="E930" s="9"/>
      <c r="F930" s="35"/>
      <c r="G930" s="35"/>
      <c r="H930" s="35"/>
      <c r="I930" s="34"/>
      <c r="J930" s="35"/>
      <c r="K930" s="35"/>
      <c r="L930" s="39" t="str">
        <f aca="false">IF(A930="","",IF(I930&lt;&gt;"","Vendu","En stock"))</f>
        <v/>
      </c>
      <c r="M930" s="17" t="str">
        <f aca="false">IF(J930="","",J930-F930-G930-K930)</f>
        <v/>
      </c>
      <c r="N930" s="40" t="str">
        <f aca="false">IF(OR(J930="",J930=0),"",M930/J930)</f>
        <v/>
      </c>
      <c r="O930" s="41" t="str">
        <f aca="true">IF(D930="","",IF(I930&lt;&gt;"",I930,TODAY())-D930)</f>
        <v/>
      </c>
    </row>
    <row r="931" customFormat="false" ht="15" hidden="false" customHeight="false" outlineLevel="0" collapsed="false">
      <c r="A931" s="9"/>
      <c r="B931" s="9"/>
      <c r="C931" s="9"/>
      <c r="D931" s="34"/>
      <c r="E931" s="9"/>
      <c r="F931" s="35"/>
      <c r="G931" s="35"/>
      <c r="H931" s="35"/>
      <c r="I931" s="34"/>
      <c r="J931" s="35"/>
      <c r="K931" s="35"/>
      <c r="L931" s="39" t="str">
        <f aca="false">IF(A931="","",IF(I931&lt;&gt;"","Vendu","En stock"))</f>
        <v/>
      </c>
      <c r="M931" s="17" t="str">
        <f aca="false">IF(J931="","",J931-F931-G931-K931)</f>
        <v/>
      </c>
      <c r="N931" s="40" t="str">
        <f aca="false">IF(OR(J931="",J931=0),"",M931/J931)</f>
        <v/>
      </c>
      <c r="O931" s="41" t="str">
        <f aca="true">IF(D931="","",IF(I931&lt;&gt;"",I931,TODAY())-D931)</f>
        <v/>
      </c>
    </row>
    <row r="932" customFormat="false" ht="15" hidden="false" customHeight="false" outlineLevel="0" collapsed="false">
      <c r="A932" s="9"/>
      <c r="B932" s="9"/>
      <c r="C932" s="9"/>
      <c r="D932" s="34"/>
      <c r="E932" s="9"/>
      <c r="F932" s="35"/>
      <c r="G932" s="35"/>
      <c r="H932" s="35"/>
      <c r="I932" s="34"/>
      <c r="J932" s="35"/>
      <c r="K932" s="35"/>
      <c r="L932" s="39" t="str">
        <f aca="false">IF(A932="","",IF(I932&lt;&gt;"","Vendu","En stock"))</f>
        <v/>
      </c>
      <c r="M932" s="17" t="str">
        <f aca="false">IF(J932="","",J932-F932-G932-K932)</f>
        <v/>
      </c>
      <c r="N932" s="40" t="str">
        <f aca="false">IF(OR(J932="",J932=0),"",M932/J932)</f>
        <v/>
      </c>
      <c r="O932" s="41" t="str">
        <f aca="true">IF(D932="","",IF(I932&lt;&gt;"",I932,TODAY())-D932)</f>
        <v/>
      </c>
    </row>
    <row r="933" customFormat="false" ht="15" hidden="false" customHeight="false" outlineLevel="0" collapsed="false">
      <c r="A933" s="9"/>
      <c r="B933" s="9"/>
      <c r="C933" s="9"/>
      <c r="D933" s="34"/>
      <c r="E933" s="9"/>
      <c r="F933" s="35"/>
      <c r="G933" s="35"/>
      <c r="H933" s="35"/>
      <c r="I933" s="34"/>
      <c r="J933" s="35"/>
      <c r="K933" s="35"/>
      <c r="L933" s="39" t="str">
        <f aca="false">IF(A933="","",IF(I933&lt;&gt;"","Vendu","En stock"))</f>
        <v/>
      </c>
      <c r="M933" s="17" t="str">
        <f aca="false">IF(J933="","",J933-F933-G933-K933)</f>
        <v/>
      </c>
      <c r="N933" s="40" t="str">
        <f aca="false">IF(OR(J933="",J933=0),"",M933/J933)</f>
        <v/>
      </c>
      <c r="O933" s="41" t="str">
        <f aca="true">IF(D933="","",IF(I933&lt;&gt;"",I933,TODAY())-D933)</f>
        <v/>
      </c>
    </row>
    <row r="934" customFormat="false" ht="15" hidden="false" customHeight="false" outlineLevel="0" collapsed="false">
      <c r="A934" s="9"/>
      <c r="B934" s="9"/>
      <c r="C934" s="9"/>
      <c r="D934" s="34"/>
      <c r="E934" s="9"/>
      <c r="F934" s="35"/>
      <c r="G934" s="35"/>
      <c r="H934" s="35"/>
      <c r="I934" s="34"/>
      <c r="J934" s="35"/>
      <c r="K934" s="35"/>
      <c r="L934" s="39" t="str">
        <f aca="false">IF(A934="","",IF(I934&lt;&gt;"","Vendu","En stock"))</f>
        <v/>
      </c>
      <c r="M934" s="17" t="str">
        <f aca="false">IF(J934="","",J934-F934-G934-K934)</f>
        <v/>
      </c>
      <c r="N934" s="40" t="str">
        <f aca="false">IF(OR(J934="",J934=0),"",M934/J934)</f>
        <v/>
      </c>
      <c r="O934" s="41" t="str">
        <f aca="true">IF(D934="","",IF(I934&lt;&gt;"",I934,TODAY())-D934)</f>
        <v/>
      </c>
    </row>
    <row r="935" customFormat="false" ht="15" hidden="false" customHeight="false" outlineLevel="0" collapsed="false">
      <c r="A935" s="9"/>
      <c r="B935" s="9"/>
      <c r="C935" s="9"/>
      <c r="D935" s="34"/>
      <c r="E935" s="9"/>
      <c r="F935" s="35"/>
      <c r="G935" s="35"/>
      <c r="H935" s="35"/>
      <c r="I935" s="34"/>
      <c r="J935" s="35"/>
      <c r="K935" s="35"/>
      <c r="L935" s="39" t="str">
        <f aca="false">IF(A935="","",IF(I935&lt;&gt;"","Vendu","En stock"))</f>
        <v/>
      </c>
      <c r="M935" s="17" t="str">
        <f aca="false">IF(J935="","",J935-F935-G935-K935)</f>
        <v/>
      </c>
      <c r="N935" s="40" t="str">
        <f aca="false">IF(OR(J935="",J935=0),"",M935/J935)</f>
        <v/>
      </c>
      <c r="O935" s="41" t="str">
        <f aca="true">IF(D935="","",IF(I935&lt;&gt;"",I935,TODAY())-D935)</f>
        <v/>
      </c>
    </row>
    <row r="936" customFormat="false" ht="15" hidden="false" customHeight="false" outlineLevel="0" collapsed="false">
      <c r="A936" s="9"/>
      <c r="B936" s="9"/>
      <c r="C936" s="9"/>
      <c r="D936" s="34"/>
      <c r="E936" s="9"/>
      <c r="F936" s="35"/>
      <c r="G936" s="35"/>
      <c r="H936" s="35"/>
      <c r="I936" s="34"/>
      <c r="J936" s="35"/>
      <c r="K936" s="35"/>
      <c r="L936" s="39" t="str">
        <f aca="false">IF(A936="","",IF(I936&lt;&gt;"","Vendu","En stock"))</f>
        <v/>
      </c>
      <c r="M936" s="17" t="str">
        <f aca="false">IF(J936="","",J936-F936-G936-K936)</f>
        <v/>
      </c>
      <c r="N936" s="40" t="str">
        <f aca="false">IF(OR(J936="",J936=0),"",M936/J936)</f>
        <v/>
      </c>
      <c r="O936" s="41" t="str">
        <f aca="true">IF(D936="","",IF(I936&lt;&gt;"",I936,TODAY())-D936)</f>
        <v/>
      </c>
    </row>
    <row r="937" customFormat="false" ht="15" hidden="false" customHeight="false" outlineLevel="0" collapsed="false">
      <c r="A937" s="9"/>
      <c r="B937" s="9"/>
      <c r="C937" s="9"/>
      <c r="D937" s="34"/>
      <c r="E937" s="9"/>
      <c r="F937" s="35"/>
      <c r="G937" s="35"/>
      <c r="H937" s="35"/>
      <c r="I937" s="34"/>
      <c r="J937" s="35"/>
      <c r="K937" s="35"/>
      <c r="L937" s="39" t="str">
        <f aca="false">IF(A937="","",IF(I937&lt;&gt;"","Vendu","En stock"))</f>
        <v/>
      </c>
      <c r="M937" s="17" t="str">
        <f aca="false">IF(J937="","",J937-F937-G937-K937)</f>
        <v/>
      </c>
      <c r="N937" s="40" t="str">
        <f aca="false">IF(OR(J937="",J937=0),"",M937/J937)</f>
        <v/>
      </c>
      <c r="O937" s="41" t="str">
        <f aca="true">IF(D937="","",IF(I937&lt;&gt;"",I937,TODAY())-D937)</f>
        <v/>
      </c>
    </row>
    <row r="938" customFormat="false" ht="15" hidden="false" customHeight="false" outlineLevel="0" collapsed="false">
      <c r="A938" s="9"/>
      <c r="B938" s="9"/>
      <c r="C938" s="9"/>
      <c r="D938" s="34"/>
      <c r="E938" s="9"/>
      <c r="F938" s="35"/>
      <c r="G938" s="35"/>
      <c r="H938" s="35"/>
      <c r="I938" s="34"/>
      <c r="J938" s="35"/>
      <c r="K938" s="35"/>
      <c r="L938" s="39" t="str">
        <f aca="false">IF(A938="","",IF(I938&lt;&gt;"","Vendu","En stock"))</f>
        <v/>
      </c>
      <c r="M938" s="17" t="str">
        <f aca="false">IF(J938="","",J938-F938-G938-K938)</f>
        <v/>
      </c>
      <c r="N938" s="40" t="str">
        <f aca="false">IF(OR(J938="",J938=0),"",M938/J938)</f>
        <v/>
      </c>
      <c r="O938" s="41" t="str">
        <f aca="true">IF(D938="","",IF(I938&lt;&gt;"",I938,TODAY())-D938)</f>
        <v/>
      </c>
    </row>
    <row r="939" customFormat="false" ht="15" hidden="false" customHeight="false" outlineLevel="0" collapsed="false">
      <c r="A939" s="9"/>
      <c r="B939" s="9"/>
      <c r="C939" s="9"/>
      <c r="D939" s="34"/>
      <c r="E939" s="9"/>
      <c r="F939" s="35"/>
      <c r="G939" s="35"/>
      <c r="H939" s="35"/>
      <c r="I939" s="34"/>
      <c r="J939" s="35"/>
      <c r="K939" s="35"/>
      <c r="L939" s="39" t="str">
        <f aca="false">IF(A939="","",IF(I939&lt;&gt;"","Vendu","En stock"))</f>
        <v/>
      </c>
      <c r="M939" s="17" t="str">
        <f aca="false">IF(J939="","",J939-F939-G939-K939)</f>
        <v/>
      </c>
      <c r="N939" s="40" t="str">
        <f aca="false">IF(OR(J939="",J939=0),"",M939/J939)</f>
        <v/>
      </c>
      <c r="O939" s="41" t="str">
        <f aca="true">IF(D939="","",IF(I939&lt;&gt;"",I939,TODAY())-D939)</f>
        <v/>
      </c>
    </row>
    <row r="940" customFormat="false" ht="15" hidden="false" customHeight="false" outlineLevel="0" collapsed="false">
      <c r="A940" s="9"/>
      <c r="B940" s="9"/>
      <c r="C940" s="9"/>
      <c r="D940" s="34"/>
      <c r="E940" s="9"/>
      <c r="F940" s="35"/>
      <c r="G940" s="35"/>
      <c r="H940" s="35"/>
      <c r="I940" s="34"/>
      <c r="J940" s="35"/>
      <c r="K940" s="35"/>
      <c r="L940" s="39" t="str">
        <f aca="false">IF(A940="","",IF(I940&lt;&gt;"","Vendu","En stock"))</f>
        <v/>
      </c>
      <c r="M940" s="17" t="str">
        <f aca="false">IF(J940="","",J940-F940-G940-K940)</f>
        <v/>
      </c>
      <c r="N940" s="40" t="str">
        <f aca="false">IF(OR(J940="",J940=0),"",M940/J940)</f>
        <v/>
      </c>
      <c r="O940" s="41" t="str">
        <f aca="true">IF(D940="","",IF(I940&lt;&gt;"",I940,TODAY())-D940)</f>
        <v/>
      </c>
    </row>
    <row r="941" customFormat="false" ht="15" hidden="false" customHeight="false" outlineLevel="0" collapsed="false">
      <c r="A941" s="9"/>
      <c r="B941" s="9"/>
      <c r="C941" s="9"/>
      <c r="D941" s="34"/>
      <c r="E941" s="9"/>
      <c r="F941" s="35"/>
      <c r="G941" s="35"/>
      <c r="H941" s="35"/>
      <c r="I941" s="34"/>
      <c r="J941" s="35"/>
      <c r="K941" s="35"/>
      <c r="L941" s="39" t="str">
        <f aca="false">IF(A941="","",IF(I941&lt;&gt;"","Vendu","En stock"))</f>
        <v/>
      </c>
      <c r="M941" s="17" t="str">
        <f aca="false">IF(J941="","",J941-F941-G941-K941)</f>
        <v/>
      </c>
      <c r="N941" s="40" t="str">
        <f aca="false">IF(OR(J941="",J941=0),"",M941/J941)</f>
        <v/>
      </c>
      <c r="O941" s="41" t="str">
        <f aca="true">IF(D941="","",IF(I941&lt;&gt;"",I941,TODAY())-D941)</f>
        <v/>
      </c>
    </row>
    <row r="942" customFormat="false" ht="15" hidden="false" customHeight="false" outlineLevel="0" collapsed="false">
      <c r="A942" s="9"/>
      <c r="B942" s="9"/>
      <c r="C942" s="9"/>
      <c r="D942" s="34"/>
      <c r="E942" s="9"/>
      <c r="F942" s="35"/>
      <c r="G942" s="35"/>
      <c r="H942" s="35"/>
      <c r="I942" s="34"/>
      <c r="J942" s="35"/>
      <c r="K942" s="35"/>
      <c r="L942" s="39" t="str">
        <f aca="false">IF(A942="","",IF(I942&lt;&gt;"","Vendu","En stock"))</f>
        <v/>
      </c>
      <c r="M942" s="17" t="str">
        <f aca="false">IF(J942="","",J942-F942-G942-K942)</f>
        <v/>
      </c>
      <c r="N942" s="40" t="str">
        <f aca="false">IF(OR(J942="",J942=0),"",M942/J942)</f>
        <v/>
      </c>
      <c r="O942" s="41" t="str">
        <f aca="true">IF(D942="","",IF(I942&lt;&gt;"",I942,TODAY())-D942)</f>
        <v/>
      </c>
    </row>
    <row r="943" customFormat="false" ht="15" hidden="false" customHeight="false" outlineLevel="0" collapsed="false">
      <c r="A943" s="9"/>
      <c r="B943" s="9"/>
      <c r="C943" s="9"/>
      <c r="D943" s="34"/>
      <c r="E943" s="9"/>
      <c r="F943" s="35"/>
      <c r="G943" s="35"/>
      <c r="H943" s="35"/>
      <c r="I943" s="34"/>
      <c r="J943" s="35"/>
      <c r="K943" s="35"/>
      <c r="L943" s="39" t="str">
        <f aca="false">IF(A943="","",IF(I943&lt;&gt;"","Vendu","En stock"))</f>
        <v/>
      </c>
      <c r="M943" s="17" t="str">
        <f aca="false">IF(J943="","",J943-F943-G943-K943)</f>
        <v/>
      </c>
      <c r="N943" s="40" t="str">
        <f aca="false">IF(OR(J943="",J943=0),"",M943/J943)</f>
        <v/>
      </c>
      <c r="O943" s="41" t="str">
        <f aca="true">IF(D943="","",IF(I943&lt;&gt;"",I943,TODAY())-D943)</f>
        <v/>
      </c>
    </row>
    <row r="944" customFormat="false" ht="15" hidden="false" customHeight="false" outlineLevel="0" collapsed="false">
      <c r="A944" s="9"/>
      <c r="B944" s="9"/>
      <c r="C944" s="9"/>
      <c r="D944" s="34"/>
      <c r="E944" s="9"/>
      <c r="F944" s="35"/>
      <c r="G944" s="35"/>
      <c r="H944" s="35"/>
      <c r="I944" s="34"/>
      <c r="J944" s="35"/>
      <c r="K944" s="35"/>
      <c r="L944" s="39" t="str">
        <f aca="false">IF(A944="","",IF(I944&lt;&gt;"","Vendu","En stock"))</f>
        <v/>
      </c>
      <c r="M944" s="17" t="str">
        <f aca="false">IF(J944="","",J944-F944-G944-K944)</f>
        <v/>
      </c>
      <c r="N944" s="40" t="str">
        <f aca="false">IF(OR(J944="",J944=0),"",M944/J944)</f>
        <v/>
      </c>
      <c r="O944" s="41" t="str">
        <f aca="true">IF(D944="","",IF(I944&lt;&gt;"",I944,TODAY())-D944)</f>
        <v/>
      </c>
    </row>
    <row r="945" customFormat="false" ht="15" hidden="false" customHeight="false" outlineLevel="0" collapsed="false">
      <c r="A945" s="9"/>
      <c r="B945" s="9"/>
      <c r="C945" s="9"/>
      <c r="D945" s="34"/>
      <c r="E945" s="9"/>
      <c r="F945" s="35"/>
      <c r="G945" s="35"/>
      <c r="H945" s="35"/>
      <c r="I945" s="34"/>
      <c r="J945" s="35"/>
      <c r="K945" s="35"/>
      <c r="L945" s="39" t="str">
        <f aca="false">IF(A945="","",IF(I945&lt;&gt;"","Vendu","En stock"))</f>
        <v/>
      </c>
      <c r="M945" s="17" t="str">
        <f aca="false">IF(J945="","",J945-F945-G945-K945)</f>
        <v/>
      </c>
      <c r="N945" s="40" t="str">
        <f aca="false">IF(OR(J945="",J945=0),"",M945/J945)</f>
        <v/>
      </c>
      <c r="O945" s="41" t="str">
        <f aca="true">IF(D945="","",IF(I945&lt;&gt;"",I945,TODAY())-D945)</f>
        <v/>
      </c>
    </row>
    <row r="946" customFormat="false" ht="15" hidden="false" customHeight="false" outlineLevel="0" collapsed="false">
      <c r="A946" s="9"/>
      <c r="B946" s="9"/>
      <c r="C946" s="9"/>
      <c r="D946" s="34"/>
      <c r="E946" s="9"/>
      <c r="F946" s="35"/>
      <c r="G946" s="35"/>
      <c r="H946" s="35"/>
      <c r="I946" s="34"/>
      <c r="J946" s="35"/>
      <c r="K946" s="35"/>
      <c r="L946" s="39" t="str">
        <f aca="false">IF(A946="","",IF(I946&lt;&gt;"","Vendu","En stock"))</f>
        <v/>
      </c>
      <c r="M946" s="17" t="str">
        <f aca="false">IF(J946="","",J946-F946-G946-K946)</f>
        <v/>
      </c>
      <c r="N946" s="40" t="str">
        <f aca="false">IF(OR(J946="",J946=0),"",M946/J946)</f>
        <v/>
      </c>
      <c r="O946" s="41" t="str">
        <f aca="true">IF(D946="","",IF(I946&lt;&gt;"",I946,TODAY())-D946)</f>
        <v/>
      </c>
    </row>
    <row r="947" customFormat="false" ht="15" hidden="false" customHeight="false" outlineLevel="0" collapsed="false">
      <c r="A947" s="9"/>
      <c r="B947" s="9"/>
      <c r="C947" s="9"/>
      <c r="D947" s="34"/>
      <c r="E947" s="9"/>
      <c r="F947" s="35"/>
      <c r="G947" s="35"/>
      <c r="H947" s="35"/>
      <c r="I947" s="34"/>
      <c r="J947" s="35"/>
      <c r="K947" s="35"/>
      <c r="L947" s="39" t="str">
        <f aca="false">IF(A947="","",IF(I947&lt;&gt;"","Vendu","En stock"))</f>
        <v/>
      </c>
      <c r="M947" s="17" t="str">
        <f aca="false">IF(J947="","",J947-F947-G947-K947)</f>
        <v/>
      </c>
      <c r="N947" s="40" t="str">
        <f aca="false">IF(OR(J947="",J947=0),"",M947/J947)</f>
        <v/>
      </c>
      <c r="O947" s="41" t="str">
        <f aca="true">IF(D947="","",IF(I947&lt;&gt;"",I947,TODAY())-D947)</f>
        <v/>
      </c>
    </row>
    <row r="948" customFormat="false" ht="15" hidden="false" customHeight="false" outlineLevel="0" collapsed="false">
      <c r="A948" s="9"/>
      <c r="B948" s="9"/>
      <c r="C948" s="9"/>
      <c r="D948" s="34"/>
      <c r="E948" s="9"/>
      <c r="F948" s="35"/>
      <c r="G948" s="35"/>
      <c r="H948" s="35"/>
      <c r="I948" s="34"/>
      <c r="J948" s="35"/>
      <c r="K948" s="35"/>
      <c r="L948" s="39" t="str">
        <f aca="false">IF(A948="","",IF(I948&lt;&gt;"","Vendu","En stock"))</f>
        <v/>
      </c>
      <c r="M948" s="17" t="str">
        <f aca="false">IF(J948="","",J948-F948-G948-K948)</f>
        <v/>
      </c>
      <c r="N948" s="40" t="str">
        <f aca="false">IF(OR(J948="",J948=0),"",M948/J948)</f>
        <v/>
      </c>
      <c r="O948" s="41" t="str">
        <f aca="true">IF(D948="","",IF(I948&lt;&gt;"",I948,TODAY())-D948)</f>
        <v/>
      </c>
    </row>
    <row r="949" customFormat="false" ht="15" hidden="false" customHeight="false" outlineLevel="0" collapsed="false">
      <c r="A949" s="9"/>
      <c r="B949" s="9"/>
      <c r="C949" s="9"/>
      <c r="D949" s="34"/>
      <c r="E949" s="9"/>
      <c r="F949" s="35"/>
      <c r="G949" s="35"/>
      <c r="H949" s="35"/>
      <c r="I949" s="34"/>
      <c r="J949" s="35"/>
      <c r="K949" s="35"/>
      <c r="L949" s="39" t="str">
        <f aca="false">IF(A949="","",IF(I949&lt;&gt;"","Vendu","En stock"))</f>
        <v/>
      </c>
      <c r="M949" s="17" t="str">
        <f aca="false">IF(J949="","",J949-F949-G949-K949)</f>
        <v/>
      </c>
      <c r="N949" s="40" t="str">
        <f aca="false">IF(OR(J949="",J949=0),"",M949/J949)</f>
        <v/>
      </c>
      <c r="O949" s="41" t="str">
        <f aca="true">IF(D949="","",IF(I949&lt;&gt;"",I949,TODAY())-D949)</f>
        <v/>
      </c>
    </row>
    <row r="950" customFormat="false" ht="15" hidden="false" customHeight="false" outlineLevel="0" collapsed="false">
      <c r="A950" s="9"/>
      <c r="B950" s="9"/>
      <c r="C950" s="9"/>
      <c r="D950" s="34"/>
      <c r="E950" s="9"/>
      <c r="F950" s="35"/>
      <c r="G950" s="35"/>
      <c r="H950" s="35"/>
      <c r="I950" s="34"/>
      <c r="J950" s="35"/>
      <c r="K950" s="35"/>
      <c r="L950" s="39" t="str">
        <f aca="false">IF(A950="","",IF(I950&lt;&gt;"","Vendu","En stock"))</f>
        <v/>
      </c>
      <c r="M950" s="17" t="str">
        <f aca="false">IF(J950="","",J950-F950-G950-K950)</f>
        <v/>
      </c>
      <c r="N950" s="40" t="str">
        <f aca="false">IF(OR(J950="",J950=0),"",M950/J950)</f>
        <v/>
      </c>
      <c r="O950" s="41" t="str">
        <f aca="true">IF(D950="","",IF(I950&lt;&gt;"",I950,TODAY())-D950)</f>
        <v/>
      </c>
    </row>
    <row r="951" customFormat="false" ht="15" hidden="false" customHeight="false" outlineLevel="0" collapsed="false">
      <c r="A951" s="9"/>
      <c r="B951" s="9"/>
      <c r="C951" s="9"/>
      <c r="D951" s="34"/>
      <c r="E951" s="9"/>
      <c r="F951" s="35"/>
      <c r="G951" s="35"/>
      <c r="H951" s="35"/>
      <c r="I951" s="34"/>
      <c r="J951" s="35"/>
      <c r="K951" s="35"/>
      <c r="L951" s="39" t="str">
        <f aca="false">IF(A951="","",IF(I951&lt;&gt;"","Vendu","En stock"))</f>
        <v/>
      </c>
      <c r="M951" s="17" t="str">
        <f aca="false">IF(J951="","",J951-F951-G951-K951)</f>
        <v/>
      </c>
      <c r="N951" s="40" t="str">
        <f aca="false">IF(OR(J951="",J951=0),"",M951/J951)</f>
        <v/>
      </c>
      <c r="O951" s="41" t="str">
        <f aca="true">IF(D951="","",IF(I951&lt;&gt;"",I951,TODAY())-D951)</f>
        <v/>
      </c>
    </row>
    <row r="952" customFormat="false" ht="15" hidden="false" customHeight="false" outlineLevel="0" collapsed="false">
      <c r="A952" s="9"/>
      <c r="B952" s="9"/>
      <c r="C952" s="9"/>
      <c r="D952" s="34"/>
      <c r="E952" s="9"/>
      <c r="F952" s="35"/>
      <c r="G952" s="35"/>
      <c r="H952" s="35"/>
      <c r="I952" s="34"/>
      <c r="J952" s="35"/>
      <c r="K952" s="35"/>
      <c r="L952" s="39" t="str">
        <f aca="false">IF(A952="","",IF(I952&lt;&gt;"","Vendu","En stock"))</f>
        <v/>
      </c>
      <c r="M952" s="17" t="str">
        <f aca="false">IF(J952="","",J952-F952-G952-K952)</f>
        <v/>
      </c>
      <c r="N952" s="40" t="str">
        <f aca="false">IF(OR(J952="",J952=0),"",M952/J952)</f>
        <v/>
      </c>
      <c r="O952" s="41" t="str">
        <f aca="true">IF(D952="","",IF(I952&lt;&gt;"",I952,TODAY())-D952)</f>
        <v/>
      </c>
    </row>
    <row r="953" customFormat="false" ht="15" hidden="false" customHeight="false" outlineLevel="0" collapsed="false">
      <c r="A953" s="9"/>
      <c r="B953" s="9"/>
      <c r="C953" s="9"/>
      <c r="D953" s="34"/>
      <c r="E953" s="9"/>
      <c r="F953" s="35"/>
      <c r="G953" s="35"/>
      <c r="H953" s="35"/>
      <c r="I953" s="34"/>
      <c r="J953" s="35"/>
      <c r="K953" s="35"/>
      <c r="L953" s="39" t="str">
        <f aca="false">IF(A953="","",IF(I953&lt;&gt;"","Vendu","En stock"))</f>
        <v/>
      </c>
      <c r="M953" s="17" t="str">
        <f aca="false">IF(J953="","",J953-F953-G953-K953)</f>
        <v/>
      </c>
      <c r="N953" s="40" t="str">
        <f aca="false">IF(OR(J953="",J953=0),"",M953/J953)</f>
        <v/>
      </c>
      <c r="O953" s="41" t="str">
        <f aca="true">IF(D953="","",IF(I953&lt;&gt;"",I953,TODAY())-D953)</f>
        <v/>
      </c>
    </row>
    <row r="954" customFormat="false" ht="15" hidden="false" customHeight="false" outlineLevel="0" collapsed="false">
      <c r="A954" s="9"/>
      <c r="B954" s="9"/>
      <c r="C954" s="9"/>
      <c r="D954" s="34"/>
      <c r="E954" s="9"/>
      <c r="F954" s="35"/>
      <c r="G954" s="35"/>
      <c r="H954" s="35"/>
      <c r="I954" s="34"/>
      <c r="J954" s="35"/>
      <c r="K954" s="35"/>
      <c r="L954" s="39" t="str">
        <f aca="false">IF(A954="","",IF(I954&lt;&gt;"","Vendu","En stock"))</f>
        <v/>
      </c>
      <c r="M954" s="17" t="str">
        <f aca="false">IF(J954="","",J954-F954-G954-K954)</f>
        <v/>
      </c>
      <c r="N954" s="40" t="str">
        <f aca="false">IF(OR(J954="",J954=0),"",M954/J954)</f>
        <v/>
      </c>
      <c r="O954" s="41" t="str">
        <f aca="true">IF(D954="","",IF(I954&lt;&gt;"",I954,TODAY())-D954)</f>
        <v/>
      </c>
    </row>
    <row r="955" customFormat="false" ht="15" hidden="false" customHeight="false" outlineLevel="0" collapsed="false">
      <c r="A955" s="9"/>
      <c r="B955" s="9"/>
      <c r="C955" s="9"/>
      <c r="D955" s="34"/>
      <c r="E955" s="9"/>
      <c r="F955" s="35"/>
      <c r="G955" s="35"/>
      <c r="H955" s="35"/>
      <c r="I955" s="34"/>
      <c r="J955" s="35"/>
      <c r="K955" s="35"/>
      <c r="L955" s="39" t="str">
        <f aca="false">IF(A955="","",IF(I955&lt;&gt;"","Vendu","En stock"))</f>
        <v/>
      </c>
      <c r="M955" s="17" t="str">
        <f aca="false">IF(J955="","",J955-F955-G955-K955)</f>
        <v/>
      </c>
      <c r="N955" s="40" t="str">
        <f aca="false">IF(OR(J955="",J955=0),"",M955/J955)</f>
        <v/>
      </c>
      <c r="O955" s="41" t="str">
        <f aca="true">IF(D955="","",IF(I955&lt;&gt;"",I955,TODAY())-D955)</f>
        <v/>
      </c>
    </row>
    <row r="956" customFormat="false" ht="15" hidden="false" customHeight="false" outlineLevel="0" collapsed="false">
      <c r="A956" s="9"/>
      <c r="B956" s="9"/>
      <c r="C956" s="9"/>
      <c r="D956" s="34"/>
      <c r="E956" s="9"/>
      <c r="F956" s="35"/>
      <c r="G956" s="35"/>
      <c r="H956" s="35"/>
      <c r="I956" s="34"/>
      <c r="J956" s="35"/>
      <c r="K956" s="35"/>
      <c r="L956" s="39" t="str">
        <f aca="false">IF(A956="","",IF(I956&lt;&gt;"","Vendu","En stock"))</f>
        <v/>
      </c>
      <c r="M956" s="17" t="str">
        <f aca="false">IF(J956="","",J956-F956-G956-K956)</f>
        <v/>
      </c>
      <c r="N956" s="40" t="str">
        <f aca="false">IF(OR(J956="",J956=0),"",M956/J956)</f>
        <v/>
      </c>
      <c r="O956" s="41" t="str">
        <f aca="true">IF(D956="","",IF(I956&lt;&gt;"",I956,TODAY())-D956)</f>
        <v/>
      </c>
    </row>
    <row r="957" customFormat="false" ht="15" hidden="false" customHeight="false" outlineLevel="0" collapsed="false">
      <c r="A957" s="9"/>
      <c r="B957" s="9"/>
      <c r="C957" s="9"/>
      <c r="D957" s="34"/>
      <c r="E957" s="9"/>
      <c r="F957" s="35"/>
      <c r="G957" s="35"/>
      <c r="H957" s="35"/>
      <c r="I957" s="34"/>
      <c r="J957" s="35"/>
      <c r="K957" s="35"/>
      <c r="L957" s="39" t="str">
        <f aca="false">IF(A957="","",IF(I957&lt;&gt;"","Vendu","En stock"))</f>
        <v/>
      </c>
      <c r="M957" s="17" t="str">
        <f aca="false">IF(J957="","",J957-F957-G957-K957)</f>
        <v/>
      </c>
      <c r="N957" s="40" t="str">
        <f aca="false">IF(OR(J957="",J957=0),"",M957/J957)</f>
        <v/>
      </c>
      <c r="O957" s="41" t="str">
        <f aca="true">IF(D957="","",IF(I957&lt;&gt;"",I957,TODAY())-D957)</f>
        <v/>
      </c>
    </row>
    <row r="958" customFormat="false" ht="15" hidden="false" customHeight="false" outlineLevel="0" collapsed="false">
      <c r="A958" s="9"/>
      <c r="B958" s="9"/>
      <c r="C958" s="9"/>
      <c r="D958" s="34"/>
      <c r="E958" s="9"/>
      <c r="F958" s="35"/>
      <c r="G958" s="35"/>
      <c r="H958" s="35"/>
      <c r="I958" s="34"/>
      <c r="J958" s="35"/>
      <c r="K958" s="35"/>
      <c r="L958" s="39" t="str">
        <f aca="false">IF(A958="","",IF(I958&lt;&gt;"","Vendu","En stock"))</f>
        <v/>
      </c>
      <c r="M958" s="17" t="str">
        <f aca="false">IF(J958="","",J958-F958-G958-K958)</f>
        <v/>
      </c>
      <c r="N958" s="40" t="str">
        <f aca="false">IF(OR(J958="",J958=0),"",M958/J958)</f>
        <v/>
      </c>
      <c r="O958" s="41" t="str">
        <f aca="true">IF(D958="","",IF(I958&lt;&gt;"",I958,TODAY())-D958)</f>
        <v/>
      </c>
    </row>
    <row r="959" customFormat="false" ht="15" hidden="false" customHeight="false" outlineLevel="0" collapsed="false">
      <c r="A959" s="9"/>
      <c r="B959" s="9"/>
      <c r="C959" s="9"/>
      <c r="D959" s="34"/>
      <c r="E959" s="9"/>
      <c r="F959" s="35"/>
      <c r="G959" s="35"/>
      <c r="H959" s="35"/>
      <c r="I959" s="34"/>
      <c r="J959" s="35"/>
      <c r="K959" s="35"/>
      <c r="L959" s="39" t="str">
        <f aca="false">IF(A959="","",IF(I959&lt;&gt;"","Vendu","En stock"))</f>
        <v/>
      </c>
      <c r="M959" s="17" t="str">
        <f aca="false">IF(J959="","",J959-F959-G959-K959)</f>
        <v/>
      </c>
      <c r="N959" s="40" t="str">
        <f aca="false">IF(OR(J959="",J959=0),"",M959/J959)</f>
        <v/>
      </c>
      <c r="O959" s="41" t="str">
        <f aca="true">IF(D959="","",IF(I959&lt;&gt;"",I959,TODAY())-D959)</f>
        <v/>
      </c>
    </row>
    <row r="960" customFormat="false" ht="15" hidden="false" customHeight="false" outlineLevel="0" collapsed="false">
      <c r="A960" s="9"/>
      <c r="B960" s="9"/>
      <c r="C960" s="9"/>
      <c r="D960" s="34"/>
      <c r="E960" s="9"/>
      <c r="F960" s="35"/>
      <c r="G960" s="35"/>
      <c r="H960" s="35"/>
      <c r="I960" s="34"/>
      <c r="J960" s="35"/>
      <c r="K960" s="35"/>
      <c r="L960" s="39" t="str">
        <f aca="false">IF(A960="","",IF(I960&lt;&gt;"","Vendu","En stock"))</f>
        <v/>
      </c>
      <c r="M960" s="17" t="str">
        <f aca="false">IF(J960="","",J960-F960-G960-K960)</f>
        <v/>
      </c>
      <c r="N960" s="40" t="str">
        <f aca="false">IF(OR(J960="",J960=0),"",M960/J960)</f>
        <v/>
      </c>
      <c r="O960" s="41" t="str">
        <f aca="true">IF(D960="","",IF(I960&lt;&gt;"",I960,TODAY())-D960)</f>
        <v/>
      </c>
    </row>
    <row r="961" customFormat="false" ht="15" hidden="false" customHeight="false" outlineLevel="0" collapsed="false">
      <c r="A961" s="9"/>
      <c r="B961" s="9"/>
      <c r="C961" s="9"/>
      <c r="D961" s="34"/>
      <c r="E961" s="9"/>
      <c r="F961" s="35"/>
      <c r="G961" s="35"/>
      <c r="H961" s="35"/>
      <c r="I961" s="34"/>
      <c r="J961" s="35"/>
      <c r="K961" s="35"/>
      <c r="L961" s="39" t="str">
        <f aca="false">IF(A961="","",IF(I961&lt;&gt;"","Vendu","En stock"))</f>
        <v/>
      </c>
      <c r="M961" s="17" t="str">
        <f aca="false">IF(J961="","",J961-F961-G961-K961)</f>
        <v/>
      </c>
      <c r="N961" s="40" t="str">
        <f aca="false">IF(OR(J961="",J961=0),"",M961/J961)</f>
        <v/>
      </c>
      <c r="O961" s="41" t="str">
        <f aca="true">IF(D961="","",IF(I961&lt;&gt;"",I961,TODAY())-D961)</f>
        <v/>
      </c>
    </row>
    <row r="962" customFormat="false" ht="15" hidden="false" customHeight="false" outlineLevel="0" collapsed="false">
      <c r="A962" s="9"/>
      <c r="B962" s="9"/>
      <c r="C962" s="9"/>
      <c r="D962" s="34"/>
      <c r="E962" s="9"/>
      <c r="F962" s="35"/>
      <c r="G962" s="35"/>
      <c r="H962" s="35"/>
      <c r="I962" s="34"/>
      <c r="J962" s="35"/>
      <c r="K962" s="35"/>
      <c r="L962" s="39" t="str">
        <f aca="false">IF(A962="","",IF(I962&lt;&gt;"","Vendu","En stock"))</f>
        <v/>
      </c>
      <c r="M962" s="17" t="str">
        <f aca="false">IF(J962="","",J962-F962-G962-K962)</f>
        <v/>
      </c>
      <c r="N962" s="40" t="str">
        <f aca="false">IF(OR(J962="",J962=0),"",M962/J962)</f>
        <v/>
      </c>
      <c r="O962" s="41" t="str">
        <f aca="true">IF(D962="","",IF(I962&lt;&gt;"",I962,TODAY())-D962)</f>
        <v/>
      </c>
    </row>
    <row r="963" customFormat="false" ht="15" hidden="false" customHeight="false" outlineLevel="0" collapsed="false">
      <c r="A963" s="9"/>
      <c r="B963" s="9"/>
      <c r="C963" s="9"/>
      <c r="D963" s="34"/>
      <c r="E963" s="9"/>
      <c r="F963" s="35"/>
      <c r="G963" s="35"/>
      <c r="H963" s="35"/>
      <c r="I963" s="34"/>
      <c r="J963" s="35"/>
      <c r="K963" s="35"/>
      <c r="L963" s="39" t="str">
        <f aca="false">IF(A963="","",IF(I963&lt;&gt;"","Vendu","En stock"))</f>
        <v/>
      </c>
      <c r="M963" s="17" t="str">
        <f aca="false">IF(J963="","",J963-F963-G963-K963)</f>
        <v/>
      </c>
      <c r="N963" s="40" t="str">
        <f aca="false">IF(OR(J963="",J963=0),"",M963/J963)</f>
        <v/>
      </c>
      <c r="O963" s="41" t="str">
        <f aca="true">IF(D963="","",IF(I963&lt;&gt;"",I963,TODAY())-D963)</f>
        <v/>
      </c>
    </row>
    <row r="964" customFormat="false" ht="15" hidden="false" customHeight="false" outlineLevel="0" collapsed="false">
      <c r="A964" s="9"/>
      <c r="B964" s="9"/>
      <c r="C964" s="9"/>
      <c r="D964" s="34"/>
      <c r="E964" s="9"/>
      <c r="F964" s="35"/>
      <c r="G964" s="35"/>
      <c r="H964" s="35"/>
      <c r="I964" s="34"/>
      <c r="J964" s="35"/>
      <c r="K964" s="35"/>
      <c r="L964" s="39" t="str">
        <f aca="false">IF(A964="","",IF(I964&lt;&gt;"","Vendu","En stock"))</f>
        <v/>
      </c>
      <c r="M964" s="17" t="str">
        <f aca="false">IF(J964="","",J964-F964-G964-K964)</f>
        <v/>
      </c>
      <c r="N964" s="40" t="str">
        <f aca="false">IF(OR(J964="",J964=0),"",M964/J964)</f>
        <v/>
      </c>
      <c r="O964" s="41" t="str">
        <f aca="true">IF(D964="","",IF(I964&lt;&gt;"",I964,TODAY())-D964)</f>
        <v/>
      </c>
    </row>
    <row r="965" customFormat="false" ht="15" hidden="false" customHeight="false" outlineLevel="0" collapsed="false">
      <c r="A965" s="9"/>
      <c r="B965" s="9"/>
      <c r="C965" s="9"/>
      <c r="D965" s="34"/>
      <c r="E965" s="9"/>
      <c r="F965" s="35"/>
      <c r="G965" s="35"/>
      <c r="H965" s="35"/>
      <c r="I965" s="34"/>
      <c r="J965" s="35"/>
      <c r="K965" s="35"/>
      <c r="L965" s="39" t="str">
        <f aca="false">IF(A965="","",IF(I965&lt;&gt;"","Vendu","En stock"))</f>
        <v/>
      </c>
      <c r="M965" s="17" t="str">
        <f aca="false">IF(J965="","",J965-F965-G965-K965)</f>
        <v/>
      </c>
      <c r="N965" s="40" t="str">
        <f aca="false">IF(OR(J965="",J965=0),"",M965/J965)</f>
        <v/>
      </c>
      <c r="O965" s="41" t="str">
        <f aca="true">IF(D965="","",IF(I965&lt;&gt;"",I965,TODAY())-D965)</f>
        <v/>
      </c>
    </row>
    <row r="966" customFormat="false" ht="15" hidden="false" customHeight="false" outlineLevel="0" collapsed="false">
      <c r="A966" s="9"/>
      <c r="B966" s="9"/>
      <c r="C966" s="9"/>
      <c r="D966" s="34"/>
      <c r="E966" s="9"/>
      <c r="F966" s="35"/>
      <c r="G966" s="35"/>
      <c r="H966" s="35"/>
      <c r="I966" s="34"/>
      <c r="J966" s="35"/>
      <c r="K966" s="35"/>
      <c r="L966" s="39" t="str">
        <f aca="false">IF(A966="","",IF(I966&lt;&gt;"","Vendu","En stock"))</f>
        <v/>
      </c>
      <c r="M966" s="17" t="str">
        <f aca="false">IF(J966="","",J966-F966-G966-K966)</f>
        <v/>
      </c>
      <c r="N966" s="40" t="str">
        <f aca="false">IF(OR(J966="",J966=0),"",M966/J966)</f>
        <v/>
      </c>
      <c r="O966" s="41" t="str">
        <f aca="true">IF(D966="","",IF(I966&lt;&gt;"",I966,TODAY())-D966)</f>
        <v/>
      </c>
    </row>
    <row r="967" customFormat="false" ht="15" hidden="false" customHeight="false" outlineLevel="0" collapsed="false">
      <c r="A967" s="9"/>
      <c r="B967" s="9"/>
      <c r="C967" s="9"/>
      <c r="D967" s="34"/>
      <c r="E967" s="9"/>
      <c r="F967" s="35"/>
      <c r="G967" s="35"/>
      <c r="H967" s="35"/>
      <c r="I967" s="34"/>
      <c r="J967" s="35"/>
      <c r="K967" s="35"/>
      <c r="L967" s="39" t="str">
        <f aca="false">IF(A967="","",IF(I967&lt;&gt;"","Vendu","En stock"))</f>
        <v/>
      </c>
      <c r="M967" s="17" t="str">
        <f aca="false">IF(J967="","",J967-F967-G967-K967)</f>
        <v/>
      </c>
      <c r="N967" s="40" t="str">
        <f aca="false">IF(OR(J967="",J967=0),"",M967/J967)</f>
        <v/>
      </c>
      <c r="O967" s="41" t="str">
        <f aca="true">IF(D967="","",IF(I967&lt;&gt;"",I967,TODAY())-D967)</f>
        <v/>
      </c>
    </row>
    <row r="968" customFormat="false" ht="15" hidden="false" customHeight="false" outlineLevel="0" collapsed="false">
      <c r="A968" s="9"/>
      <c r="B968" s="9"/>
      <c r="C968" s="9"/>
      <c r="D968" s="34"/>
      <c r="E968" s="9"/>
      <c r="F968" s="35"/>
      <c r="G968" s="35"/>
      <c r="H968" s="35"/>
      <c r="I968" s="34"/>
      <c r="J968" s="35"/>
      <c r="K968" s="35"/>
      <c r="L968" s="39" t="str">
        <f aca="false">IF(A968="","",IF(I968&lt;&gt;"","Vendu","En stock"))</f>
        <v/>
      </c>
      <c r="M968" s="17" t="str">
        <f aca="false">IF(J968="","",J968-F968-G968-K968)</f>
        <v/>
      </c>
      <c r="N968" s="40" t="str">
        <f aca="false">IF(OR(J968="",J968=0),"",M968/J968)</f>
        <v/>
      </c>
      <c r="O968" s="41" t="str">
        <f aca="true">IF(D968="","",IF(I968&lt;&gt;"",I968,TODAY())-D968)</f>
        <v/>
      </c>
    </row>
    <row r="969" customFormat="false" ht="15" hidden="false" customHeight="false" outlineLevel="0" collapsed="false">
      <c r="A969" s="9"/>
      <c r="B969" s="9"/>
      <c r="C969" s="9"/>
      <c r="D969" s="34"/>
      <c r="E969" s="9"/>
      <c r="F969" s="35"/>
      <c r="G969" s="35"/>
      <c r="H969" s="35"/>
      <c r="I969" s="34"/>
      <c r="J969" s="35"/>
      <c r="K969" s="35"/>
      <c r="L969" s="39" t="str">
        <f aca="false">IF(A969="","",IF(I969&lt;&gt;"","Vendu","En stock"))</f>
        <v/>
      </c>
      <c r="M969" s="17" t="str">
        <f aca="false">IF(J969="","",J969-F969-G969-K969)</f>
        <v/>
      </c>
      <c r="N969" s="40" t="str">
        <f aca="false">IF(OR(J969="",J969=0),"",M969/J969)</f>
        <v/>
      </c>
      <c r="O969" s="41" t="str">
        <f aca="true">IF(D969="","",IF(I969&lt;&gt;"",I969,TODAY())-D969)</f>
        <v/>
      </c>
    </row>
    <row r="970" customFormat="false" ht="15" hidden="false" customHeight="false" outlineLevel="0" collapsed="false">
      <c r="A970" s="9"/>
      <c r="B970" s="9"/>
      <c r="C970" s="9"/>
      <c r="D970" s="34"/>
      <c r="E970" s="9"/>
      <c r="F970" s="35"/>
      <c r="G970" s="35"/>
      <c r="H970" s="35"/>
      <c r="I970" s="34"/>
      <c r="J970" s="35"/>
      <c r="K970" s="35"/>
      <c r="L970" s="39" t="str">
        <f aca="false">IF(A970="","",IF(I970&lt;&gt;"","Vendu","En stock"))</f>
        <v/>
      </c>
      <c r="M970" s="17" t="str">
        <f aca="false">IF(J970="","",J970-F970-G970-K970)</f>
        <v/>
      </c>
      <c r="N970" s="40" t="str">
        <f aca="false">IF(OR(J970="",J970=0),"",M970/J970)</f>
        <v/>
      </c>
      <c r="O970" s="41" t="str">
        <f aca="true">IF(D970="","",IF(I970&lt;&gt;"",I970,TODAY())-D970)</f>
        <v/>
      </c>
    </row>
    <row r="971" customFormat="false" ht="15" hidden="false" customHeight="false" outlineLevel="0" collapsed="false">
      <c r="A971" s="9"/>
      <c r="B971" s="9"/>
      <c r="C971" s="9"/>
      <c r="D971" s="34"/>
      <c r="E971" s="9"/>
      <c r="F971" s="35"/>
      <c r="G971" s="35"/>
      <c r="H971" s="35"/>
      <c r="I971" s="34"/>
      <c r="J971" s="35"/>
      <c r="K971" s="35"/>
      <c r="L971" s="39" t="str">
        <f aca="false">IF(A971="","",IF(I971&lt;&gt;"","Vendu","En stock"))</f>
        <v/>
      </c>
      <c r="M971" s="17" t="str">
        <f aca="false">IF(J971="","",J971-F971-G971-K971)</f>
        <v/>
      </c>
      <c r="N971" s="40" t="str">
        <f aca="false">IF(OR(J971="",J971=0),"",M971/J971)</f>
        <v/>
      </c>
      <c r="O971" s="41" t="str">
        <f aca="true">IF(D971="","",IF(I971&lt;&gt;"",I971,TODAY())-D971)</f>
        <v/>
      </c>
    </row>
    <row r="972" customFormat="false" ht="15" hidden="false" customHeight="false" outlineLevel="0" collapsed="false">
      <c r="A972" s="9"/>
      <c r="B972" s="9"/>
      <c r="C972" s="9"/>
      <c r="D972" s="34"/>
      <c r="E972" s="9"/>
      <c r="F972" s="35"/>
      <c r="G972" s="35"/>
      <c r="H972" s="35"/>
      <c r="I972" s="34"/>
      <c r="J972" s="35"/>
      <c r="K972" s="35"/>
      <c r="L972" s="39" t="str">
        <f aca="false">IF(A972="","",IF(I972&lt;&gt;"","Vendu","En stock"))</f>
        <v/>
      </c>
      <c r="M972" s="17" t="str">
        <f aca="false">IF(J972="","",J972-F972-G972-K972)</f>
        <v/>
      </c>
      <c r="N972" s="40" t="str">
        <f aca="false">IF(OR(J972="",J972=0),"",M972/J972)</f>
        <v/>
      </c>
      <c r="O972" s="41" t="str">
        <f aca="true">IF(D972="","",IF(I972&lt;&gt;"",I972,TODAY())-D972)</f>
        <v/>
      </c>
    </row>
    <row r="973" customFormat="false" ht="15" hidden="false" customHeight="false" outlineLevel="0" collapsed="false">
      <c r="A973" s="9"/>
      <c r="B973" s="9"/>
      <c r="C973" s="9"/>
      <c r="D973" s="34"/>
      <c r="E973" s="9"/>
      <c r="F973" s="35"/>
      <c r="G973" s="35"/>
      <c r="H973" s="35"/>
      <c r="I973" s="34"/>
      <c r="J973" s="35"/>
      <c r="K973" s="35"/>
      <c r="L973" s="39" t="str">
        <f aca="false">IF(A973="","",IF(I973&lt;&gt;"","Vendu","En stock"))</f>
        <v/>
      </c>
      <c r="M973" s="17" t="str">
        <f aca="false">IF(J973="","",J973-F973-G973-K973)</f>
        <v/>
      </c>
      <c r="N973" s="40" t="str">
        <f aca="false">IF(OR(J973="",J973=0),"",M973/J973)</f>
        <v/>
      </c>
      <c r="O973" s="41" t="str">
        <f aca="true">IF(D973="","",IF(I973&lt;&gt;"",I973,TODAY())-D973)</f>
        <v/>
      </c>
    </row>
    <row r="974" customFormat="false" ht="15" hidden="false" customHeight="false" outlineLevel="0" collapsed="false">
      <c r="A974" s="9"/>
      <c r="B974" s="9"/>
      <c r="C974" s="9"/>
      <c r="D974" s="34"/>
      <c r="E974" s="9"/>
      <c r="F974" s="35"/>
      <c r="G974" s="35"/>
      <c r="H974" s="35"/>
      <c r="I974" s="34"/>
      <c r="J974" s="35"/>
      <c r="K974" s="35"/>
      <c r="L974" s="39" t="str">
        <f aca="false">IF(A974="","",IF(I974&lt;&gt;"","Vendu","En stock"))</f>
        <v/>
      </c>
      <c r="M974" s="17" t="str">
        <f aca="false">IF(J974="","",J974-F974-G974-K974)</f>
        <v/>
      </c>
      <c r="N974" s="40" t="str">
        <f aca="false">IF(OR(J974="",J974=0),"",M974/J974)</f>
        <v/>
      </c>
      <c r="O974" s="41" t="str">
        <f aca="true">IF(D974="","",IF(I974&lt;&gt;"",I974,TODAY())-D974)</f>
        <v/>
      </c>
    </row>
    <row r="975" customFormat="false" ht="15" hidden="false" customHeight="false" outlineLevel="0" collapsed="false">
      <c r="A975" s="9"/>
      <c r="B975" s="9"/>
      <c r="C975" s="9"/>
      <c r="D975" s="34"/>
      <c r="E975" s="9"/>
      <c r="F975" s="35"/>
      <c r="G975" s="35"/>
      <c r="H975" s="35"/>
      <c r="I975" s="34"/>
      <c r="J975" s="35"/>
      <c r="K975" s="35"/>
      <c r="L975" s="39" t="str">
        <f aca="false">IF(A975="","",IF(I975&lt;&gt;"","Vendu","En stock"))</f>
        <v/>
      </c>
      <c r="M975" s="17" t="str">
        <f aca="false">IF(J975="","",J975-F975-G975-K975)</f>
        <v/>
      </c>
      <c r="N975" s="40" t="str">
        <f aca="false">IF(OR(J975="",J975=0),"",M975/J975)</f>
        <v/>
      </c>
      <c r="O975" s="41" t="str">
        <f aca="true">IF(D975="","",IF(I975&lt;&gt;"",I975,TODAY())-D975)</f>
        <v/>
      </c>
    </row>
    <row r="976" customFormat="false" ht="15" hidden="false" customHeight="false" outlineLevel="0" collapsed="false">
      <c r="A976" s="9"/>
      <c r="B976" s="9"/>
      <c r="C976" s="9"/>
      <c r="D976" s="34"/>
      <c r="E976" s="9"/>
      <c r="F976" s="35"/>
      <c r="G976" s="35"/>
      <c r="H976" s="35"/>
      <c r="I976" s="34"/>
      <c r="J976" s="35"/>
      <c r="K976" s="35"/>
      <c r="L976" s="39" t="str">
        <f aca="false">IF(A976="","",IF(I976&lt;&gt;"","Vendu","En stock"))</f>
        <v/>
      </c>
      <c r="M976" s="17" t="str">
        <f aca="false">IF(J976="","",J976-F976-G976-K976)</f>
        <v/>
      </c>
      <c r="N976" s="40" t="str">
        <f aca="false">IF(OR(J976="",J976=0),"",M976/J976)</f>
        <v/>
      </c>
      <c r="O976" s="41" t="str">
        <f aca="true">IF(D976="","",IF(I976&lt;&gt;"",I976,TODAY())-D976)</f>
        <v/>
      </c>
    </row>
    <row r="977" customFormat="false" ht="15" hidden="false" customHeight="false" outlineLevel="0" collapsed="false">
      <c r="A977" s="9"/>
      <c r="B977" s="9"/>
      <c r="C977" s="9"/>
      <c r="D977" s="34"/>
      <c r="E977" s="9"/>
      <c r="F977" s="35"/>
      <c r="G977" s="35"/>
      <c r="H977" s="35"/>
      <c r="I977" s="34"/>
      <c r="J977" s="35"/>
      <c r="K977" s="35"/>
      <c r="L977" s="39" t="str">
        <f aca="false">IF(A977="","",IF(I977&lt;&gt;"","Vendu","En stock"))</f>
        <v/>
      </c>
      <c r="M977" s="17" t="str">
        <f aca="false">IF(J977="","",J977-F977-G977-K977)</f>
        <v/>
      </c>
      <c r="N977" s="40" t="str">
        <f aca="false">IF(OR(J977="",J977=0),"",M977/J977)</f>
        <v/>
      </c>
      <c r="O977" s="41" t="str">
        <f aca="true">IF(D977="","",IF(I977&lt;&gt;"",I977,TODAY())-D977)</f>
        <v/>
      </c>
    </row>
    <row r="978" customFormat="false" ht="15" hidden="false" customHeight="false" outlineLevel="0" collapsed="false">
      <c r="A978" s="9"/>
      <c r="B978" s="9"/>
      <c r="C978" s="9"/>
      <c r="D978" s="34"/>
      <c r="E978" s="9"/>
      <c r="F978" s="35"/>
      <c r="G978" s="35"/>
      <c r="H978" s="35"/>
      <c r="I978" s="34"/>
      <c r="J978" s="35"/>
      <c r="K978" s="35"/>
      <c r="L978" s="39" t="str">
        <f aca="false">IF(A978="","",IF(I978&lt;&gt;"","Vendu","En stock"))</f>
        <v/>
      </c>
      <c r="M978" s="17" t="str">
        <f aca="false">IF(J978="","",J978-F978-G978-K978)</f>
        <v/>
      </c>
      <c r="N978" s="40" t="str">
        <f aca="false">IF(OR(J978="",J978=0),"",M978/J978)</f>
        <v/>
      </c>
      <c r="O978" s="41" t="str">
        <f aca="true">IF(D978="","",IF(I978&lt;&gt;"",I978,TODAY())-D978)</f>
        <v/>
      </c>
    </row>
    <row r="979" customFormat="false" ht="15" hidden="false" customHeight="false" outlineLevel="0" collapsed="false">
      <c r="A979" s="9"/>
      <c r="B979" s="9"/>
      <c r="C979" s="9"/>
      <c r="D979" s="34"/>
      <c r="E979" s="9"/>
      <c r="F979" s="35"/>
      <c r="G979" s="35"/>
      <c r="H979" s="35"/>
      <c r="I979" s="34"/>
      <c r="J979" s="35"/>
      <c r="K979" s="35"/>
      <c r="L979" s="39" t="str">
        <f aca="false">IF(A979="","",IF(I979&lt;&gt;"","Vendu","En stock"))</f>
        <v/>
      </c>
      <c r="M979" s="17" t="str">
        <f aca="false">IF(J979="","",J979-F979-G979-K979)</f>
        <v/>
      </c>
      <c r="N979" s="40" t="str">
        <f aca="false">IF(OR(J979="",J979=0),"",M979/J979)</f>
        <v/>
      </c>
      <c r="O979" s="41" t="str">
        <f aca="true">IF(D979="","",IF(I979&lt;&gt;"",I979,TODAY())-D979)</f>
        <v/>
      </c>
    </row>
    <row r="980" customFormat="false" ht="15" hidden="false" customHeight="false" outlineLevel="0" collapsed="false">
      <c r="A980" s="9"/>
      <c r="B980" s="9"/>
      <c r="C980" s="9"/>
      <c r="D980" s="34"/>
      <c r="E980" s="9"/>
      <c r="F980" s="35"/>
      <c r="G980" s="35"/>
      <c r="H980" s="35"/>
      <c r="I980" s="34"/>
      <c r="J980" s="35"/>
      <c r="K980" s="35"/>
      <c r="L980" s="39" t="str">
        <f aca="false">IF(A980="","",IF(I980&lt;&gt;"","Vendu","En stock"))</f>
        <v/>
      </c>
      <c r="M980" s="17" t="str">
        <f aca="false">IF(J980="","",J980-F980-G980-K980)</f>
        <v/>
      </c>
      <c r="N980" s="40" t="str">
        <f aca="false">IF(OR(J980="",J980=0),"",M980/J980)</f>
        <v/>
      </c>
      <c r="O980" s="41" t="str">
        <f aca="true">IF(D980="","",IF(I980&lt;&gt;"",I980,TODAY())-D980)</f>
        <v/>
      </c>
    </row>
    <row r="981" customFormat="false" ht="15" hidden="false" customHeight="false" outlineLevel="0" collapsed="false">
      <c r="A981" s="9"/>
      <c r="B981" s="9"/>
      <c r="C981" s="9"/>
      <c r="D981" s="34"/>
      <c r="E981" s="9"/>
      <c r="F981" s="35"/>
      <c r="G981" s="35"/>
      <c r="H981" s="35"/>
      <c r="I981" s="34"/>
      <c r="J981" s="35"/>
      <c r="K981" s="35"/>
      <c r="L981" s="39" t="str">
        <f aca="false">IF(A981="","",IF(I981&lt;&gt;"","Vendu","En stock"))</f>
        <v/>
      </c>
      <c r="M981" s="17" t="str">
        <f aca="false">IF(J981="","",J981-F981-G981-K981)</f>
        <v/>
      </c>
      <c r="N981" s="40" t="str">
        <f aca="false">IF(OR(J981="",J981=0),"",M981/J981)</f>
        <v/>
      </c>
      <c r="O981" s="41" t="str">
        <f aca="true">IF(D981="","",IF(I981&lt;&gt;"",I981,TODAY())-D981)</f>
        <v/>
      </c>
    </row>
    <row r="982" customFormat="false" ht="15" hidden="false" customHeight="false" outlineLevel="0" collapsed="false">
      <c r="A982" s="9"/>
      <c r="B982" s="9"/>
      <c r="C982" s="9"/>
      <c r="D982" s="34"/>
      <c r="E982" s="9"/>
      <c r="F982" s="35"/>
      <c r="G982" s="35"/>
      <c r="H982" s="35"/>
      <c r="I982" s="34"/>
      <c r="J982" s="35"/>
      <c r="K982" s="35"/>
      <c r="L982" s="39" t="str">
        <f aca="false">IF(A982="","",IF(I982&lt;&gt;"","Vendu","En stock"))</f>
        <v/>
      </c>
      <c r="M982" s="17" t="str">
        <f aca="false">IF(J982="","",J982-F982-G982-K982)</f>
        <v/>
      </c>
      <c r="N982" s="40" t="str">
        <f aca="false">IF(OR(J982="",J982=0),"",M982/J982)</f>
        <v/>
      </c>
      <c r="O982" s="41" t="str">
        <f aca="true">IF(D982="","",IF(I982&lt;&gt;"",I982,TODAY())-D982)</f>
        <v/>
      </c>
    </row>
    <row r="983" customFormat="false" ht="15" hidden="false" customHeight="false" outlineLevel="0" collapsed="false">
      <c r="A983" s="9"/>
      <c r="B983" s="9"/>
      <c r="C983" s="9"/>
      <c r="D983" s="34"/>
      <c r="E983" s="9"/>
      <c r="F983" s="35"/>
      <c r="G983" s="35"/>
      <c r="H983" s="35"/>
      <c r="I983" s="34"/>
      <c r="J983" s="35"/>
      <c r="K983" s="35"/>
      <c r="L983" s="39" t="str">
        <f aca="false">IF(A983="","",IF(I983&lt;&gt;"","Vendu","En stock"))</f>
        <v/>
      </c>
      <c r="M983" s="17" t="str">
        <f aca="false">IF(J983="","",J983-F983-G983-K983)</f>
        <v/>
      </c>
      <c r="N983" s="40" t="str">
        <f aca="false">IF(OR(J983="",J983=0),"",M983/J983)</f>
        <v/>
      </c>
      <c r="O983" s="41" t="str">
        <f aca="true">IF(D983="","",IF(I983&lt;&gt;"",I983,TODAY())-D983)</f>
        <v/>
      </c>
    </row>
    <row r="984" customFormat="false" ht="15" hidden="false" customHeight="false" outlineLevel="0" collapsed="false">
      <c r="A984" s="9"/>
      <c r="B984" s="9"/>
      <c r="C984" s="9"/>
      <c r="D984" s="34"/>
      <c r="E984" s="9"/>
      <c r="F984" s="35"/>
      <c r="G984" s="35"/>
      <c r="H984" s="35"/>
      <c r="I984" s="34"/>
      <c r="J984" s="35"/>
      <c r="K984" s="35"/>
      <c r="L984" s="39" t="str">
        <f aca="false">IF(A984="","",IF(I984&lt;&gt;"","Vendu","En stock"))</f>
        <v/>
      </c>
      <c r="M984" s="17" t="str">
        <f aca="false">IF(J984="","",J984-F984-G984-K984)</f>
        <v/>
      </c>
      <c r="N984" s="40" t="str">
        <f aca="false">IF(OR(J984="",J984=0),"",M984/J984)</f>
        <v/>
      </c>
      <c r="O984" s="41" t="str">
        <f aca="true">IF(D984="","",IF(I984&lt;&gt;"",I984,TODAY())-D984)</f>
        <v/>
      </c>
    </row>
    <row r="985" customFormat="false" ht="15" hidden="false" customHeight="false" outlineLevel="0" collapsed="false">
      <c r="A985" s="9"/>
      <c r="B985" s="9"/>
      <c r="C985" s="9"/>
      <c r="D985" s="34"/>
      <c r="E985" s="9"/>
      <c r="F985" s="35"/>
      <c r="G985" s="35"/>
      <c r="H985" s="35"/>
      <c r="I985" s="34"/>
      <c r="J985" s="35"/>
      <c r="K985" s="35"/>
      <c r="L985" s="39" t="str">
        <f aca="false">IF(A985="","",IF(I985&lt;&gt;"","Vendu","En stock"))</f>
        <v/>
      </c>
      <c r="M985" s="17" t="str">
        <f aca="false">IF(J985="","",J985-F985-G985-K985)</f>
        <v/>
      </c>
      <c r="N985" s="40" t="str">
        <f aca="false">IF(OR(J985="",J985=0),"",M985/J985)</f>
        <v/>
      </c>
      <c r="O985" s="41" t="str">
        <f aca="true">IF(D985="","",IF(I985&lt;&gt;"",I985,TODAY())-D985)</f>
        <v/>
      </c>
    </row>
    <row r="986" customFormat="false" ht="15" hidden="false" customHeight="false" outlineLevel="0" collapsed="false">
      <c r="A986" s="9"/>
      <c r="B986" s="9"/>
      <c r="C986" s="9"/>
      <c r="D986" s="34"/>
      <c r="E986" s="9"/>
      <c r="F986" s="35"/>
      <c r="G986" s="35"/>
      <c r="H986" s="35"/>
      <c r="I986" s="34"/>
      <c r="J986" s="35"/>
      <c r="K986" s="35"/>
      <c r="L986" s="39" t="str">
        <f aca="false">IF(A986="","",IF(I986&lt;&gt;"","Vendu","En stock"))</f>
        <v/>
      </c>
      <c r="M986" s="17" t="str">
        <f aca="false">IF(J986="","",J986-F986-G986-K986)</f>
        <v/>
      </c>
      <c r="N986" s="40" t="str">
        <f aca="false">IF(OR(J986="",J986=0),"",M986/J986)</f>
        <v/>
      </c>
      <c r="O986" s="41" t="str">
        <f aca="true">IF(D986="","",IF(I986&lt;&gt;"",I986,TODAY())-D986)</f>
        <v/>
      </c>
    </row>
    <row r="987" customFormat="false" ht="15" hidden="false" customHeight="false" outlineLevel="0" collapsed="false">
      <c r="A987" s="9"/>
      <c r="B987" s="9"/>
      <c r="C987" s="9"/>
      <c r="D987" s="34"/>
      <c r="E987" s="9"/>
      <c r="F987" s="35"/>
      <c r="G987" s="35"/>
      <c r="H987" s="35"/>
      <c r="I987" s="34"/>
      <c r="J987" s="35"/>
      <c r="K987" s="35"/>
      <c r="L987" s="39" t="str">
        <f aca="false">IF(A987="","",IF(I987&lt;&gt;"","Vendu","En stock"))</f>
        <v/>
      </c>
      <c r="M987" s="17" t="str">
        <f aca="false">IF(J987="","",J987-F987-G987-K987)</f>
        <v/>
      </c>
      <c r="N987" s="40" t="str">
        <f aca="false">IF(OR(J987="",J987=0),"",M987/J987)</f>
        <v/>
      </c>
      <c r="O987" s="41" t="str">
        <f aca="true">IF(D987="","",IF(I987&lt;&gt;"",I987,TODAY())-D987)</f>
        <v/>
      </c>
    </row>
    <row r="988" customFormat="false" ht="15" hidden="false" customHeight="false" outlineLevel="0" collapsed="false">
      <c r="A988" s="9"/>
      <c r="B988" s="9"/>
      <c r="C988" s="9"/>
      <c r="D988" s="34"/>
      <c r="E988" s="9"/>
      <c r="F988" s="35"/>
      <c r="G988" s="35"/>
      <c r="H988" s="35"/>
      <c r="I988" s="34"/>
      <c r="J988" s="35"/>
      <c r="K988" s="35"/>
      <c r="L988" s="39" t="str">
        <f aca="false">IF(A988="","",IF(I988&lt;&gt;"","Vendu","En stock"))</f>
        <v/>
      </c>
      <c r="M988" s="17" t="str">
        <f aca="false">IF(J988="","",J988-F988-G988-K988)</f>
        <v/>
      </c>
      <c r="N988" s="40" t="str">
        <f aca="false">IF(OR(J988="",J988=0),"",M988/J988)</f>
        <v/>
      </c>
      <c r="O988" s="41" t="str">
        <f aca="true">IF(D988="","",IF(I988&lt;&gt;"",I988,TODAY())-D988)</f>
        <v/>
      </c>
    </row>
    <row r="989" customFormat="false" ht="15" hidden="false" customHeight="false" outlineLevel="0" collapsed="false">
      <c r="A989" s="9"/>
      <c r="B989" s="9"/>
      <c r="C989" s="9"/>
      <c r="D989" s="34"/>
      <c r="E989" s="9"/>
      <c r="F989" s="35"/>
      <c r="G989" s="35"/>
      <c r="H989" s="35"/>
      <c r="I989" s="34"/>
      <c r="J989" s="35"/>
      <c r="K989" s="35"/>
      <c r="L989" s="39" t="str">
        <f aca="false">IF(A989="","",IF(I989&lt;&gt;"","Vendu","En stock"))</f>
        <v/>
      </c>
      <c r="M989" s="17" t="str">
        <f aca="false">IF(J989="","",J989-F989-G989-K989)</f>
        <v/>
      </c>
      <c r="N989" s="40" t="str">
        <f aca="false">IF(OR(J989="",J989=0),"",M989/J989)</f>
        <v/>
      </c>
      <c r="O989" s="41" t="str">
        <f aca="true">IF(D989="","",IF(I989&lt;&gt;"",I989,TODAY())-D989)</f>
        <v/>
      </c>
    </row>
    <row r="990" customFormat="false" ht="15" hidden="false" customHeight="false" outlineLevel="0" collapsed="false">
      <c r="A990" s="9"/>
      <c r="B990" s="9"/>
      <c r="C990" s="9"/>
      <c r="D990" s="34"/>
      <c r="E990" s="9"/>
      <c r="F990" s="35"/>
      <c r="G990" s="35"/>
      <c r="H990" s="35"/>
      <c r="I990" s="34"/>
      <c r="J990" s="35"/>
      <c r="K990" s="35"/>
      <c r="L990" s="39" t="str">
        <f aca="false">IF(A990="","",IF(I990&lt;&gt;"","Vendu","En stock"))</f>
        <v/>
      </c>
      <c r="M990" s="17" t="str">
        <f aca="false">IF(J990="","",J990-F990-G990-K990)</f>
        <v/>
      </c>
      <c r="N990" s="40" t="str">
        <f aca="false">IF(OR(J990="",J990=0),"",M990/J990)</f>
        <v/>
      </c>
      <c r="O990" s="41" t="str">
        <f aca="true">IF(D990="","",IF(I990&lt;&gt;"",I990,TODAY())-D990)</f>
        <v/>
      </c>
    </row>
    <row r="991" customFormat="false" ht="15" hidden="false" customHeight="false" outlineLevel="0" collapsed="false">
      <c r="A991" s="9"/>
      <c r="B991" s="9"/>
      <c r="C991" s="9"/>
      <c r="D991" s="34"/>
      <c r="E991" s="9"/>
      <c r="F991" s="35"/>
      <c r="G991" s="35"/>
      <c r="H991" s="35"/>
      <c r="I991" s="34"/>
      <c r="J991" s="35"/>
      <c r="K991" s="35"/>
      <c r="L991" s="39" t="str">
        <f aca="false">IF(A991="","",IF(I991&lt;&gt;"","Vendu","En stock"))</f>
        <v/>
      </c>
      <c r="M991" s="17" t="str">
        <f aca="false">IF(J991="","",J991-F991-G991-K991)</f>
        <v/>
      </c>
      <c r="N991" s="40" t="str">
        <f aca="false">IF(OR(J991="",J991=0),"",M991/J991)</f>
        <v/>
      </c>
      <c r="O991" s="41" t="str">
        <f aca="true">IF(D991="","",IF(I991&lt;&gt;"",I991,TODAY())-D991)</f>
        <v/>
      </c>
    </row>
    <row r="992" customFormat="false" ht="15" hidden="false" customHeight="false" outlineLevel="0" collapsed="false">
      <c r="A992" s="9"/>
      <c r="B992" s="9"/>
      <c r="C992" s="9"/>
      <c r="D992" s="34"/>
      <c r="E992" s="9"/>
      <c r="F992" s="35"/>
      <c r="G992" s="35"/>
      <c r="H992" s="35"/>
      <c r="I992" s="34"/>
      <c r="J992" s="35"/>
      <c r="K992" s="35"/>
      <c r="L992" s="39" t="str">
        <f aca="false">IF(A992="","",IF(I992&lt;&gt;"","Vendu","En stock"))</f>
        <v/>
      </c>
      <c r="M992" s="17" t="str">
        <f aca="false">IF(J992="","",J992-F992-G992-K992)</f>
        <v/>
      </c>
      <c r="N992" s="40" t="str">
        <f aca="false">IF(OR(J992="",J992=0),"",M992/J992)</f>
        <v/>
      </c>
      <c r="O992" s="41" t="str">
        <f aca="true">IF(D992="","",IF(I992&lt;&gt;"",I992,TODAY())-D992)</f>
        <v/>
      </c>
    </row>
    <row r="993" customFormat="false" ht="15" hidden="false" customHeight="false" outlineLevel="0" collapsed="false">
      <c r="A993" s="9"/>
      <c r="B993" s="9"/>
      <c r="C993" s="9"/>
      <c r="D993" s="34"/>
      <c r="E993" s="9"/>
      <c r="F993" s="35"/>
      <c r="G993" s="35"/>
      <c r="H993" s="35"/>
      <c r="I993" s="34"/>
      <c r="J993" s="35"/>
      <c r="K993" s="35"/>
      <c r="L993" s="39" t="str">
        <f aca="false">IF(A993="","",IF(I993&lt;&gt;"","Vendu","En stock"))</f>
        <v/>
      </c>
      <c r="M993" s="17" t="str">
        <f aca="false">IF(J993="","",J993-F993-G993-K993)</f>
        <v/>
      </c>
      <c r="N993" s="40" t="str">
        <f aca="false">IF(OR(J993="",J993=0),"",M993/J993)</f>
        <v/>
      </c>
      <c r="O993" s="41" t="str">
        <f aca="true">IF(D993="","",IF(I993&lt;&gt;"",I993,TODAY())-D993)</f>
        <v/>
      </c>
    </row>
    <row r="994" customFormat="false" ht="15" hidden="false" customHeight="false" outlineLevel="0" collapsed="false">
      <c r="A994" s="9"/>
      <c r="B994" s="9"/>
      <c r="C994" s="9"/>
      <c r="D994" s="34"/>
      <c r="E994" s="9"/>
      <c r="F994" s="35"/>
      <c r="G994" s="35"/>
      <c r="H994" s="35"/>
      <c r="I994" s="34"/>
      <c r="J994" s="35"/>
      <c r="K994" s="35"/>
      <c r="L994" s="39" t="str">
        <f aca="false">IF(A994="","",IF(I994&lt;&gt;"","Vendu","En stock"))</f>
        <v/>
      </c>
      <c r="M994" s="17" t="str">
        <f aca="false">IF(J994="","",J994-F994-G994-K994)</f>
        <v/>
      </c>
      <c r="N994" s="40" t="str">
        <f aca="false">IF(OR(J994="",J994=0),"",M994/J994)</f>
        <v/>
      </c>
      <c r="O994" s="41" t="str">
        <f aca="true">IF(D994="","",IF(I994&lt;&gt;"",I994,TODAY())-D994)</f>
        <v/>
      </c>
    </row>
    <row r="995" customFormat="false" ht="15" hidden="false" customHeight="false" outlineLevel="0" collapsed="false">
      <c r="A995" s="9"/>
      <c r="B995" s="9"/>
      <c r="C995" s="9"/>
      <c r="D995" s="34"/>
      <c r="E995" s="9"/>
      <c r="F995" s="35"/>
      <c r="G995" s="35"/>
      <c r="H995" s="35"/>
      <c r="I995" s="34"/>
      <c r="J995" s="35"/>
      <c r="K995" s="35"/>
      <c r="L995" s="39" t="str">
        <f aca="false">IF(A995="","",IF(I995&lt;&gt;"","Vendu","En stock"))</f>
        <v/>
      </c>
      <c r="M995" s="17" t="str">
        <f aca="false">IF(J995="","",J995-F995-G995-K995)</f>
        <v/>
      </c>
      <c r="N995" s="40" t="str">
        <f aca="false">IF(OR(J995="",J995=0),"",M995/J995)</f>
        <v/>
      </c>
      <c r="O995" s="41" t="str">
        <f aca="true">IF(D995="","",IF(I995&lt;&gt;"",I995,TODAY())-D995)</f>
        <v/>
      </c>
    </row>
    <row r="996" customFormat="false" ht="15" hidden="false" customHeight="false" outlineLevel="0" collapsed="false">
      <c r="A996" s="9"/>
      <c r="B996" s="9"/>
      <c r="C996" s="9"/>
      <c r="D996" s="34"/>
      <c r="E996" s="9"/>
      <c r="F996" s="35"/>
      <c r="G996" s="35"/>
      <c r="H996" s="35"/>
      <c r="I996" s="34"/>
      <c r="J996" s="35"/>
      <c r="K996" s="35"/>
      <c r="L996" s="39" t="str">
        <f aca="false">IF(A996="","",IF(I996&lt;&gt;"","Vendu","En stock"))</f>
        <v/>
      </c>
      <c r="M996" s="17" t="str">
        <f aca="false">IF(J996="","",J996-F996-G996-K996)</f>
        <v/>
      </c>
      <c r="N996" s="40" t="str">
        <f aca="false">IF(OR(J996="",J996=0),"",M996/J996)</f>
        <v/>
      </c>
      <c r="O996" s="41" t="str">
        <f aca="true">IF(D996="","",IF(I996&lt;&gt;"",I996,TODAY())-D996)</f>
        <v/>
      </c>
    </row>
    <row r="997" customFormat="false" ht="15" hidden="false" customHeight="false" outlineLevel="0" collapsed="false">
      <c r="A997" s="9"/>
      <c r="B997" s="9"/>
      <c r="C997" s="9"/>
      <c r="D997" s="34"/>
      <c r="E997" s="9"/>
      <c r="F997" s="35"/>
      <c r="G997" s="35"/>
      <c r="H997" s="35"/>
      <c r="I997" s="34"/>
      <c r="J997" s="35"/>
      <c r="K997" s="35"/>
      <c r="L997" s="39" t="str">
        <f aca="false">IF(A997="","",IF(I997&lt;&gt;"","Vendu","En stock"))</f>
        <v/>
      </c>
      <c r="M997" s="17" t="str">
        <f aca="false">IF(J997="","",J997-F997-G997-K997)</f>
        <v/>
      </c>
      <c r="N997" s="40" t="str">
        <f aca="false">IF(OR(J997="",J997=0),"",M997/J997)</f>
        <v/>
      </c>
      <c r="O997" s="41" t="str">
        <f aca="true">IF(D997="","",IF(I997&lt;&gt;"",I997,TODAY())-D997)</f>
        <v/>
      </c>
    </row>
    <row r="998" customFormat="false" ht="15" hidden="false" customHeight="false" outlineLevel="0" collapsed="false">
      <c r="A998" s="9"/>
      <c r="B998" s="9"/>
      <c r="C998" s="9"/>
      <c r="D998" s="34"/>
      <c r="E998" s="9"/>
      <c r="F998" s="35"/>
      <c r="G998" s="35"/>
      <c r="H998" s="35"/>
      <c r="I998" s="34"/>
      <c r="J998" s="35"/>
      <c r="K998" s="35"/>
      <c r="L998" s="39" t="str">
        <f aca="false">IF(A998="","",IF(I998&lt;&gt;"","Vendu","En stock"))</f>
        <v/>
      </c>
      <c r="M998" s="17" t="str">
        <f aca="false">IF(J998="","",J998-F998-G998-K998)</f>
        <v/>
      </c>
      <c r="N998" s="40" t="str">
        <f aca="false">IF(OR(J998="",J998=0),"",M998/J998)</f>
        <v/>
      </c>
      <c r="O998" s="41" t="str">
        <f aca="true">IF(D998="","",IF(I998&lt;&gt;"",I998,TODAY())-D998)</f>
        <v/>
      </c>
    </row>
    <row r="999" customFormat="false" ht="15" hidden="false" customHeight="false" outlineLevel="0" collapsed="false">
      <c r="A999" s="9"/>
      <c r="B999" s="9"/>
      <c r="C999" s="9"/>
      <c r="D999" s="34"/>
      <c r="E999" s="9"/>
      <c r="F999" s="35"/>
      <c r="G999" s="35"/>
      <c r="H999" s="35"/>
      <c r="I999" s="34"/>
      <c r="J999" s="35"/>
      <c r="K999" s="35"/>
      <c r="L999" s="39" t="str">
        <f aca="false">IF(A999="","",IF(I999&lt;&gt;"","Vendu","En stock"))</f>
        <v/>
      </c>
      <c r="M999" s="17" t="str">
        <f aca="false">IF(J999="","",J999-F999-G999-K999)</f>
        <v/>
      </c>
      <c r="N999" s="40" t="str">
        <f aca="false">IF(OR(J999="",J999=0),"",M999/J999)</f>
        <v/>
      </c>
      <c r="O999" s="41" t="str">
        <f aca="true">IF(D999="","",IF(I999&lt;&gt;"",I999,TODAY())-D999)</f>
        <v/>
      </c>
    </row>
    <row r="1000" customFormat="false" ht="15" hidden="false" customHeight="false" outlineLevel="0" collapsed="false">
      <c r="A1000" s="9"/>
      <c r="B1000" s="9"/>
      <c r="C1000" s="9"/>
      <c r="D1000" s="34"/>
      <c r="E1000" s="9"/>
      <c r="F1000" s="35"/>
      <c r="G1000" s="35"/>
      <c r="H1000" s="35"/>
      <c r="I1000" s="34"/>
      <c r="J1000" s="35"/>
      <c r="K1000" s="35"/>
      <c r="L1000" s="39" t="str">
        <f aca="false">IF(A1000="","",IF(I1000&lt;&gt;"","Vendu","En stock"))</f>
        <v/>
      </c>
      <c r="M1000" s="17" t="str">
        <f aca="false">IF(J1000="","",J1000-F1000-G1000-K1000)</f>
        <v/>
      </c>
      <c r="N1000" s="40" t="str">
        <f aca="false">IF(OR(J1000="",J1000=0),"",M1000/J1000)</f>
        <v/>
      </c>
      <c r="O1000" s="41" t="str">
        <f aca="true">IF(D1000="","",IF(I1000&lt;&gt;"",I1000,TODAY())-D1000)</f>
        <v/>
      </c>
    </row>
    <row r="1001" customFormat="false" ht="15" hidden="false" customHeight="false" outlineLevel="0" collapsed="false">
      <c r="A1001" s="9"/>
      <c r="B1001" s="9"/>
      <c r="C1001" s="9"/>
      <c r="D1001" s="34"/>
      <c r="E1001" s="9"/>
      <c r="F1001" s="35"/>
      <c r="G1001" s="35"/>
      <c r="H1001" s="35"/>
      <c r="I1001" s="34"/>
      <c r="J1001" s="35"/>
      <c r="K1001" s="35"/>
      <c r="L1001" s="39" t="str">
        <f aca="false">IF(A1001="","",IF(I1001&lt;&gt;"","Vendu","En stock"))</f>
        <v/>
      </c>
      <c r="M1001" s="17" t="str">
        <f aca="false">IF(J1001="","",J1001-F1001-G1001-K1001)</f>
        <v/>
      </c>
      <c r="N1001" s="40" t="str">
        <f aca="false">IF(OR(J1001="",J1001=0),"",M1001/J1001)</f>
        <v/>
      </c>
      <c r="O1001" s="41" t="str">
        <f aca="true">IF(D1001="","",IF(I1001&lt;&gt;"",I1001,TODAY())-D1001)</f>
        <v/>
      </c>
    </row>
    <row r="1002" customFormat="false" ht="15" hidden="false" customHeight="false" outlineLevel="0" collapsed="false">
      <c r="A1002" s="9"/>
      <c r="B1002" s="9"/>
      <c r="C1002" s="9"/>
      <c r="D1002" s="34"/>
      <c r="E1002" s="9"/>
      <c r="F1002" s="35"/>
      <c r="G1002" s="35"/>
      <c r="H1002" s="35"/>
      <c r="I1002" s="34"/>
      <c r="J1002" s="35"/>
      <c r="K1002" s="35"/>
      <c r="L1002" s="39" t="str">
        <f aca="false">IF(A1002="","",IF(I1002&lt;&gt;"","Vendu","En stock"))</f>
        <v/>
      </c>
      <c r="M1002" s="17" t="str">
        <f aca="false">IF(J1002="","",J1002-F1002-G1002-K1002)</f>
        <v/>
      </c>
      <c r="N1002" s="40" t="str">
        <f aca="false">IF(OR(J1002="",J1002=0),"",M1002/J1002)</f>
        <v/>
      </c>
      <c r="O1002" s="41" t="str">
        <f aca="true">IF(D1002="","",IF(I1002&lt;&gt;"",I1002,TODAY())-D1002)</f>
        <v/>
      </c>
    </row>
    <row r="1003" customFormat="false" ht="15" hidden="false" customHeight="false" outlineLevel="0" collapsed="false">
      <c r="A1003" s="9"/>
      <c r="B1003" s="9"/>
      <c r="C1003" s="9"/>
      <c r="D1003" s="34"/>
      <c r="E1003" s="9"/>
      <c r="F1003" s="35"/>
      <c r="G1003" s="35"/>
      <c r="H1003" s="35"/>
      <c r="I1003" s="34"/>
      <c r="J1003" s="35"/>
      <c r="K1003" s="35"/>
      <c r="L1003" s="39" t="str">
        <f aca="false">IF(A1003="","",IF(I1003&lt;&gt;"","Vendu","En stock"))</f>
        <v/>
      </c>
      <c r="M1003" s="17" t="str">
        <f aca="false">IF(J1003="","",J1003-F1003-G1003-K1003)</f>
        <v/>
      </c>
      <c r="N1003" s="40" t="str">
        <f aca="false">IF(OR(J1003="",J1003=0),"",M1003/J1003)</f>
        <v/>
      </c>
      <c r="O1003" s="41" t="str">
        <f aca="true">IF(D1003="","",IF(I1003&lt;&gt;"",I1003,TODAY())-D1003)</f>
        <v/>
      </c>
    </row>
    <row r="1004" customFormat="false" ht="15" hidden="false" customHeight="false" outlineLevel="0" collapsed="false">
      <c r="A1004" s="9"/>
      <c r="B1004" s="9"/>
      <c r="C1004" s="9"/>
      <c r="D1004" s="34"/>
      <c r="E1004" s="9"/>
      <c r="F1004" s="35"/>
      <c r="G1004" s="35"/>
      <c r="H1004" s="35"/>
      <c r="I1004" s="34"/>
      <c r="J1004" s="35"/>
      <c r="K1004" s="35"/>
      <c r="L1004" s="39" t="str">
        <f aca="false">IF(A1004="","",IF(I1004&lt;&gt;"","Vendu","En stock"))</f>
        <v/>
      </c>
      <c r="M1004" s="17" t="str">
        <f aca="false">IF(J1004="","",J1004-F1004-G1004-K1004)</f>
        <v/>
      </c>
      <c r="N1004" s="40" t="str">
        <f aca="false">IF(OR(J1004="",J1004=0),"",M1004/J1004)</f>
        <v/>
      </c>
      <c r="O1004" s="41" t="str">
        <f aca="true">IF(D1004="","",IF(I1004&lt;&gt;"",I1004,TODAY())-D1004)</f>
        <v/>
      </c>
    </row>
    <row r="1005" customFormat="false" ht="15" hidden="false" customHeight="false" outlineLevel="0" collapsed="false">
      <c r="A1005" s="9"/>
      <c r="B1005" s="9"/>
      <c r="C1005" s="9"/>
      <c r="D1005" s="34"/>
      <c r="E1005" s="9"/>
      <c r="F1005" s="35"/>
      <c r="G1005" s="35"/>
      <c r="H1005" s="35"/>
      <c r="I1005" s="34"/>
      <c r="J1005" s="35"/>
      <c r="K1005" s="35"/>
      <c r="L1005" s="39" t="str">
        <f aca="false">IF(A1005="","",IF(I1005&lt;&gt;"","Vendu","En stock"))</f>
        <v/>
      </c>
      <c r="M1005" s="17" t="str">
        <f aca="false">IF(J1005="","",J1005-F1005-G1005-K1005)</f>
        <v/>
      </c>
      <c r="N1005" s="40" t="str">
        <f aca="false">IF(OR(J1005="",J1005=0),"",M1005/J1005)</f>
        <v/>
      </c>
      <c r="O1005" s="41" t="str">
        <f aca="true">IF(D1005="","",IF(I1005&lt;&gt;"",I1005,TODAY())-D1005)</f>
        <v/>
      </c>
    </row>
    <row r="1006" customFormat="false" ht="15" hidden="false" customHeight="false" outlineLevel="0" collapsed="false">
      <c r="A1006" s="9"/>
      <c r="B1006" s="9"/>
      <c r="C1006" s="9"/>
      <c r="D1006" s="34"/>
      <c r="E1006" s="9"/>
      <c r="F1006" s="35"/>
      <c r="G1006" s="35"/>
      <c r="H1006" s="35"/>
      <c r="I1006" s="34"/>
      <c r="J1006" s="35"/>
      <c r="K1006" s="35"/>
      <c r="L1006" s="39" t="str">
        <f aca="false">IF(A1006="","",IF(I1006&lt;&gt;"","Vendu","En stock"))</f>
        <v/>
      </c>
      <c r="M1006" s="17" t="str">
        <f aca="false">IF(J1006="","",J1006-F1006-G1006-K1006)</f>
        <v/>
      </c>
      <c r="N1006" s="40" t="str">
        <f aca="false">IF(OR(J1006="",J1006=0),"",M1006/J1006)</f>
        <v/>
      </c>
      <c r="O1006" s="41" t="str">
        <f aca="true">IF(D1006="","",IF(I1006&lt;&gt;"",I1006,TODAY())-D1006)</f>
        <v/>
      </c>
    </row>
  </sheetData>
  <autoFilter ref="A6:O1006"/>
  <mergeCells count="3">
    <mergeCell ref="A3:B3"/>
    <mergeCell ref="D3:E3"/>
    <mergeCell ref="K3:L3"/>
  </mergeCells>
  <conditionalFormatting sqref="L7:L1006">
    <cfRule type="cellIs" priority="2" operator="equal" aboveAverage="0" equalAverage="0" bottom="0" percent="0" rank="0" text="" dxfId="14">
      <formula>"Vendu"</formula>
    </cfRule>
    <cfRule type="cellIs" priority="3" operator="equal" aboveAverage="0" equalAverage="0" bottom="0" percent="0" rank="0" text="" dxfId="15">
      <formula>"En stock"</formula>
    </cfRule>
  </conditionalFormatting>
  <conditionalFormatting sqref="M7:M1006">
    <cfRule type="cellIs" priority="4" operator="lessThan" aboveAverage="0" equalAverage="0" bottom="0" percent="0" rank="0" text="" dxfId="1">
      <formula>0</formula>
    </cfRule>
  </conditionalFormatting>
  <conditionalFormatting sqref="O7:O1006">
    <cfRule type="expression" priority="5" aboveAverage="0" equalAverage="0" bottom="0" percent="0" rank="0" text="" dxfId="1">
      <formula>AND(L7="En stock",O7&gt;90)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2026-10-06T20:44:09Z</dcterms:created>
  <dc:creator>openpyxl</dc:creator>
  <dc:description/>
  <dc:language>en-US</dc:language>
  <cp:lastModifiedBy/>
  <dcterms:modified xsi:type="dcterms:W3CDTF">2026-10-06T20:44:10Z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